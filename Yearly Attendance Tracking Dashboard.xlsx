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ocuments\Yearly Attendence Project\"/>
    </mc:Choice>
  </mc:AlternateContent>
  <xr:revisionPtr revIDLastSave="0" documentId="13_ncr:1_{AD1FF849-0CE5-46D1-8562-3FD2F642705E}" xr6:coauthVersionLast="47" xr6:coauthVersionMax="47" xr10:uidLastSave="{00000000-0000-0000-0000-000000000000}"/>
  <bookViews>
    <workbookView xWindow="-108" yWindow="-108" windowWidth="23256" windowHeight="12576" firstSheet="11" activeTab="12" xr2:uid="{3264D90F-F867-4439-837B-AD9FB54A373A}"/>
  </bookViews>
  <sheets>
    <sheet name="DecReport" sheetId="13" state="hidden" r:id="rId1"/>
    <sheet name="NovReport" sheetId="12" state="hidden" r:id="rId2"/>
    <sheet name="OctReport" sheetId="11" state="hidden" r:id="rId3"/>
    <sheet name="SepReport" sheetId="10" state="hidden" r:id="rId4"/>
    <sheet name="AugReport" sheetId="9" state="hidden" r:id="rId5"/>
    <sheet name="JulReport" sheetId="8" state="hidden" r:id="rId6"/>
    <sheet name="JunReport" sheetId="7" state="hidden" r:id="rId7"/>
    <sheet name="MayReport" sheetId="6" state="hidden" r:id="rId8"/>
    <sheet name="AprReport" sheetId="5" state="hidden" r:id="rId9"/>
    <sheet name="MarReport" sheetId="4" state="hidden" r:id="rId10"/>
    <sheet name="FebReport" sheetId="3" state="hidden" r:id="rId11"/>
    <sheet name="Dashboard" sheetId="14" r:id="rId12"/>
    <sheet name="RawData" sheetId="15" r:id="rId13"/>
    <sheet name="Pivots" sheetId="1" r:id="rId14"/>
  </sheets>
  <definedNames>
    <definedName name="_xlchart.v2.0" hidden="1">Pivots!$S$2:$S$6</definedName>
    <definedName name="_xlchart.v2.1" hidden="1">Pivots!$T$2:$T$6</definedName>
    <definedName name="ExternalData_10" localSheetId="2" hidden="1">OctReport!$A$1:$Q$13</definedName>
    <definedName name="ExternalData_11" localSheetId="1" hidden="1">NovReport!$A$1:$Q$13</definedName>
    <definedName name="ExternalData_12" localSheetId="0" hidden="1">DecReport!$A$1:$Q$13</definedName>
    <definedName name="ExternalData_2" localSheetId="10" hidden="1">FebReport!$A$1:$Q$13</definedName>
    <definedName name="ExternalData_3" localSheetId="9" hidden="1">MarReport!$A$1:$Q$13</definedName>
    <definedName name="ExternalData_4" localSheetId="8" hidden="1">AprReport!$A$1:$Q$13</definedName>
    <definedName name="ExternalData_5" localSheetId="7" hidden="1">MayReport!$A$1:$Q$13</definedName>
    <definedName name="ExternalData_6" localSheetId="6" hidden="1">JunReport!$A$1:$Q$13</definedName>
    <definedName name="ExternalData_7" localSheetId="5" hidden="1">JulReport!$A$1:$Q$13</definedName>
    <definedName name="ExternalData_8" localSheetId="4" hidden="1">AugReport!$A$1:$Q$13</definedName>
    <definedName name="ExternalData_9" localSheetId="3" hidden="1">SepReport!$A$1:$Q$13</definedName>
    <definedName name="Slicer_Designation">#N/A</definedName>
    <definedName name="Slicer_Emp_ID">#N/A</definedName>
    <definedName name="Slicer_Month">#N/A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5" i="1" l="1"/>
  <c r="B35" i="1" l="1"/>
  <c r="V10" i="1"/>
  <c r="T5" i="1"/>
  <c r="T7" i="1"/>
  <c r="Q49" i="1" s="1"/>
  <c r="W63" i="1"/>
  <c r="V64" i="1"/>
  <c r="U64" i="1"/>
  <c r="U63" i="1"/>
  <c r="M64" i="1"/>
  <c r="M63" i="1"/>
  <c r="AN6" i="1"/>
  <c r="AE46" i="1"/>
  <c r="AF47" i="1" s="1"/>
  <c r="AD46" i="1"/>
  <c r="AD47" i="1" s="1"/>
  <c r="I65" i="1"/>
  <c r="T49" i="1"/>
  <c r="S49" i="1"/>
  <c r="T4" i="1"/>
  <c r="T6" i="1"/>
  <c r="T3" i="1"/>
  <c r="T2" i="1"/>
  <c r="B14" i="1"/>
  <c r="AO3" i="1"/>
  <c r="AN3" i="1"/>
  <c r="AP3" i="1"/>
  <c r="F27" i="1"/>
  <c r="O64" i="1" l="1"/>
  <c r="N64" i="1" s="1"/>
  <c r="D31" i="1"/>
  <c r="AN8" i="1"/>
  <c r="AN5" i="1"/>
  <c r="AN7" i="1"/>
  <c r="C59" i="1"/>
  <c r="C62" i="1" s="1"/>
  <c r="B59" i="1"/>
  <c r="B62" i="1" s="1"/>
  <c r="B27" i="1"/>
  <c r="D27" i="1"/>
  <c r="E27" i="1"/>
  <c r="C27" i="1"/>
  <c r="I39" i="1"/>
  <c r="B31" i="1" l="1"/>
  <c r="F29" i="1"/>
  <c r="B29" i="1"/>
  <c r="D29" i="1"/>
  <c r="M44" i="1"/>
  <c r="O44" i="1" s="1"/>
  <c r="K44" i="1"/>
  <c r="G43" i="1"/>
  <c r="G44" i="1" s="1"/>
  <c r="P44" i="1" l="1"/>
  <c r="G47" i="1"/>
  <c r="G4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B908D4-838C-43DC-90C1-9AC9B09AC91D}" keepAlive="1" name="Query - AprReport" description="Connection to the 'AprReport' query in the workbook." type="5" refreshedVersion="8" background="1" saveData="1">
    <dbPr connection="Provider=Microsoft.Mashup.OleDb.1;Data Source=$Workbook$;Location=AprReport;Extended Properties=&quot;&quot;" command="SELECT * FROM [AprReport]"/>
  </connection>
  <connection id="2" xr16:uid="{9750C58A-7FF3-435B-8855-FEF9D2143FC5}" keepAlive="1" name="Query - AugReport" description="Connection to the 'AugReport' query in the workbook." type="5" refreshedVersion="8" background="1" saveData="1">
    <dbPr connection="Provider=Microsoft.Mashup.OleDb.1;Data Source=$Workbook$;Location=AugReport;Extended Properties=&quot;&quot;" command="SELECT * FROM [AugReport]"/>
  </connection>
  <connection id="3" xr16:uid="{DC96123A-48FE-4C27-A961-ADD08D4C3CF2}" keepAlive="1" name="Query - DecReport" description="Connection to the 'DecReport' query in the workbook." type="5" refreshedVersion="8" background="1" saveData="1">
    <dbPr connection="Provider=Microsoft.Mashup.OleDb.1;Data Source=$Workbook$;Location=DecReport;Extended Properties=&quot;&quot;" command="SELECT * FROM [DecReport]"/>
  </connection>
  <connection id="4" xr16:uid="{1651FC3F-093B-4CCE-AD86-E0B9F4CB7F64}" keepAlive="1" name="Query - FebReport" description="Connection to the 'FebReport' query in the workbook." type="5" refreshedVersion="8" background="1" saveData="1">
    <dbPr connection="Provider=Microsoft.Mashup.OleDb.1;Data Source=$Workbook$;Location=FebReport;Extended Properties=&quot;&quot;" command="SELECT * FROM [FebReport]"/>
  </connection>
  <connection id="5" xr16:uid="{500B0D67-B353-410F-9649-D78A1A9D0BD1}" keepAlive="1" name="Query - JanReport" description="Connection to the 'JanReport' query in the workbook." type="5" refreshedVersion="8" background="1" saveData="1">
    <dbPr connection="Provider=Microsoft.Mashup.OleDb.1;Data Source=$Workbook$;Location=JanReport;Extended Properties=&quot;&quot;" command="SELECT * FROM [JanReport]"/>
  </connection>
  <connection id="6" xr16:uid="{964426B6-FCDE-4CD4-B760-B1E92CDEF8EE}" keepAlive="1" name="Query - JulReport" description="Connection to the 'JulReport' query in the workbook." type="5" refreshedVersion="8" background="1" saveData="1">
    <dbPr connection="Provider=Microsoft.Mashup.OleDb.1;Data Source=$Workbook$;Location=JulReport;Extended Properties=&quot;&quot;" command="SELECT * FROM [JulReport]"/>
  </connection>
  <connection id="7" xr16:uid="{15E1E9DE-4608-4B0B-9B1D-45C65437CC0B}" keepAlive="1" name="Query - JunReport" description="Connection to the 'JunReport' query in the workbook." type="5" refreshedVersion="8" background="1" saveData="1">
    <dbPr connection="Provider=Microsoft.Mashup.OleDb.1;Data Source=$Workbook$;Location=JunReport;Extended Properties=&quot;&quot;" command="SELECT * FROM [JunReport]"/>
  </connection>
  <connection id="8" xr16:uid="{C61B8885-527E-48DD-8B69-D62AE111A59B}" keepAlive="1" name="Query - MarReport" description="Connection to the 'MarReport' query in the workbook." type="5" refreshedVersion="8" background="1" saveData="1">
    <dbPr connection="Provider=Microsoft.Mashup.OleDb.1;Data Source=$Workbook$;Location=MarReport;Extended Properties=&quot;&quot;" command="SELECT * FROM [MarReport]"/>
  </connection>
  <connection id="9" xr16:uid="{E0C84A31-FDEC-4A23-A9A5-8C19678092EE}" keepAlive="1" name="Query - MayReport" description="Connection to the 'MayReport' query in the workbook." type="5" refreshedVersion="8" background="1" saveData="1">
    <dbPr connection="Provider=Microsoft.Mashup.OleDb.1;Data Source=$Workbook$;Location=MayReport;Extended Properties=&quot;&quot;" command="SELECT * FROM [MayReport]"/>
  </connection>
  <connection id="10" xr16:uid="{4FE6EF41-8A10-4ADF-AB5F-00BF767806B6}" keepAlive="1" name="Query - NovReport" description="Connection to the 'NovReport' query in the workbook." type="5" refreshedVersion="8" background="1" saveData="1">
    <dbPr connection="Provider=Microsoft.Mashup.OleDb.1;Data Source=$Workbook$;Location=NovReport;Extended Properties=&quot;&quot;" command="SELECT * FROM [NovReport]"/>
  </connection>
  <connection id="11" xr16:uid="{E37C8E1E-D44A-41DE-96BC-4D87CD7C2F61}" keepAlive="1" name="Query - OctReport" description="Connection to the 'OctReport' query in the workbook." type="5" refreshedVersion="8" background="1" saveData="1">
    <dbPr connection="Provider=Microsoft.Mashup.OleDb.1;Data Source=$Workbook$;Location=OctReport;Extended Properties=&quot;&quot;" command="SELECT * FROM [OctReport]"/>
  </connection>
  <connection id="12" xr16:uid="{92FA2008-B33D-44FD-9D49-EAF3AC413F2D}" keepAlive="1" name="Query - SepReport" description="Connection to the 'SepReport' query in the workbook." type="5" refreshedVersion="8" background="1" saveData="1">
    <dbPr connection="Provider=Microsoft.Mashup.OleDb.1;Data Source=$Workbook$;Location=SepReport;Extended Properties=&quot;&quot;" command="SELECT * FROM [SepReport]"/>
  </connection>
</connections>
</file>

<file path=xl/sharedStrings.xml><?xml version="1.0" encoding="utf-8"?>
<sst xmlns="http://schemas.openxmlformats.org/spreadsheetml/2006/main" count="1460" uniqueCount="103">
  <si>
    <t>Emp ID</t>
  </si>
  <si>
    <t>Name</t>
  </si>
  <si>
    <t>Month</t>
  </si>
  <si>
    <t>Designation</t>
  </si>
  <si>
    <t>Presence</t>
  </si>
  <si>
    <t>Absence</t>
  </si>
  <si>
    <t>Leave</t>
  </si>
  <si>
    <t>holiday</t>
  </si>
  <si>
    <t>Week off</t>
  </si>
  <si>
    <t>Total Days in Month</t>
  </si>
  <si>
    <t>Total Payable Days</t>
  </si>
  <si>
    <t>Basic Salary</t>
  </si>
  <si>
    <t>Per day Salary</t>
  </si>
  <si>
    <t>HRA</t>
  </si>
  <si>
    <t>PF</t>
  </si>
  <si>
    <t>Total Amount</t>
  </si>
  <si>
    <t>In hand Amount</t>
  </si>
  <si>
    <t>Emp001</t>
  </si>
  <si>
    <t>Ajay Saniyal</t>
  </si>
  <si>
    <t>July</t>
  </si>
  <si>
    <t>Manager</t>
  </si>
  <si>
    <t>Emp002</t>
  </si>
  <si>
    <t>Hari Pandit</t>
  </si>
  <si>
    <t>Team Leader</t>
  </si>
  <si>
    <t>Emp003</t>
  </si>
  <si>
    <t>Chitra Sen</t>
  </si>
  <si>
    <t>HR</t>
  </si>
  <si>
    <t>Emp004</t>
  </si>
  <si>
    <t>Ahana Chowdhury</t>
  </si>
  <si>
    <t>Emp005</t>
  </si>
  <si>
    <t>Boby Sarkar</t>
  </si>
  <si>
    <t>Analyst</t>
  </si>
  <si>
    <t>Emp006</t>
  </si>
  <si>
    <t>Rubi Roy</t>
  </si>
  <si>
    <t>Emp007</t>
  </si>
  <si>
    <t>Mali Gupta</t>
  </si>
  <si>
    <t>Accountant</t>
  </si>
  <si>
    <t>Emp008</t>
  </si>
  <si>
    <t>Sujay Sarkar</t>
  </si>
  <si>
    <t>Emp009</t>
  </si>
  <si>
    <t>Aytri Roy</t>
  </si>
  <si>
    <t>Emp010</t>
  </si>
  <si>
    <t>Biswanath Sil</t>
  </si>
  <si>
    <t>Stuff</t>
  </si>
  <si>
    <t>Emp011</t>
  </si>
  <si>
    <t>Vijay Chatterjeee</t>
  </si>
  <si>
    <t>August</t>
  </si>
  <si>
    <t>September</t>
  </si>
  <si>
    <t>October</t>
  </si>
  <si>
    <t>November</t>
  </si>
  <si>
    <t>December</t>
  </si>
  <si>
    <t>February</t>
  </si>
  <si>
    <t>March</t>
  </si>
  <si>
    <t>P</t>
  </si>
  <si>
    <t>April</t>
  </si>
  <si>
    <t>May</t>
  </si>
  <si>
    <t>June</t>
  </si>
  <si>
    <t>January</t>
  </si>
  <si>
    <t>Row Labels</t>
  </si>
  <si>
    <t>Grand Total</t>
  </si>
  <si>
    <t>Sum of Presence</t>
  </si>
  <si>
    <t>Sum of Absence</t>
  </si>
  <si>
    <t>Sum of Total Payable Days</t>
  </si>
  <si>
    <t>Sum of HRA</t>
  </si>
  <si>
    <t>Sum of Total Amount</t>
  </si>
  <si>
    <t>Sum of PF</t>
  </si>
  <si>
    <t>Sum of In hand Amount</t>
  </si>
  <si>
    <t>KPI</t>
  </si>
  <si>
    <t>Sum of Leave</t>
  </si>
  <si>
    <t>Sum of Week off</t>
  </si>
  <si>
    <t>Sum of Total Days in Month</t>
  </si>
  <si>
    <t>Count of Total Days in Month2</t>
  </si>
  <si>
    <t>Sum of Avg Attendence</t>
  </si>
  <si>
    <t>Header</t>
  </si>
  <si>
    <t>Total Days</t>
  </si>
  <si>
    <t>Work Days</t>
  </si>
  <si>
    <t>Actual</t>
  </si>
  <si>
    <t>Total</t>
  </si>
  <si>
    <t>Extra</t>
  </si>
  <si>
    <t>Actual Total Days</t>
  </si>
  <si>
    <t>Calculated Total Days</t>
  </si>
  <si>
    <t>Calc.Absnt</t>
  </si>
  <si>
    <t>Actual.Calc</t>
  </si>
  <si>
    <t>Sparkline</t>
  </si>
  <si>
    <t>Earned Basic Salary</t>
  </si>
  <si>
    <t>Total Salary</t>
  </si>
  <si>
    <t>In Hand Salary</t>
  </si>
  <si>
    <t>Max of Per day Salary</t>
  </si>
  <si>
    <t>Sum of Basic Salary</t>
  </si>
  <si>
    <t>Monthly Salary</t>
  </si>
  <si>
    <t>Per Day Salary</t>
  </si>
  <si>
    <t>Sum of Attendence</t>
  </si>
  <si>
    <t>Sum of holiday</t>
  </si>
  <si>
    <t>Payble Days</t>
  </si>
  <si>
    <t>Footer</t>
  </si>
  <si>
    <t>Off Days</t>
  </si>
  <si>
    <t>Difference</t>
  </si>
  <si>
    <t>Average of Presence</t>
  </si>
  <si>
    <t>Average of Absence</t>
  </si>
  <si>
    <t xml:space="preserve">Presence </t>
  </si>
  <si>
    <t xml:space="preserve"> Absence</t>
  </si>
  <si>
    <t xml:space="preserve"> Presence</t>
  </si>
  <si>
    <t xml:space="preserve"> 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</si>
</sst>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 #,##0.00"/>
    <numFmt numFmtId="165" formatCode="0.0%"/>
    <numFmt numFmtId="166" formatCode="&quot;Last Updated&quot;\ mmmm\ dd\ yyyy\ hh:mm\ AM/PM"/>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2" fillId="2" borderId="0" xfId="0" applyFont="1" applyFill="1"/>
    <xf numFmtId="9" fontId="0" fillId="0" borderId="0" xfId="1" applyFont="1"/>
    <xf numFmtId="9" fontId="0" fillId="0" borderId="0" xfId="0" applyNumberFormat="1"/>
    <xf numFmtId="164" fontId="0" fillId="0" borderId="0" xfId="2" applyNumberFormat="1" applyFont="1"/>
    <xf numFmtId="0" fontId="0" fillId="3" borderId="0" xfId="0" applyFill="1"/>
    <xf numFmtId="165" fontId="0" fillId="0" borderId="0" xfId="1" applyNumberFormat="1" applyFont="1"/>
    <xf numFmtId="0" fontId="0" fillId="0" borderId="1" xfId="0" applyBorder="1"/>
    <xf numFmtId="164" fontId="0" fillId="0" borderId="1" xfId="0" applyNumberFormat="1" applyBorder="1"/>
    <xf numFmtId="164" fontId="0" fillId="0" borderId="1" xfId="2" applyNumberFormat="1" applyFont="1" applyBorder="1"/>
    <xf numFmtId="165" fontId="0" fillId="0" borderId="0" xfId="0" applyNumberFormat="1"/>
    <xf numFmtId="0" fontId="3" fillId="2" borderId="0" xfId="0" applyFont="1" applyFill="1"/>
    <xf numFmtId="166" fontId="0" fillId="0" borderId="0" xfId="0" applyNumberFormat="1"/>
    <xf numFmtId="2" fontId="0" fillId="0" borderId="0" xfId="0" applyNumberFormat="1"/>
  </cellXfs>
  <cellStyles count="3">
    <cellStyle name="Comma" xfId="2" builtinId="3"/>
    <cellStyle name="Normal" xfId="0" builtinId="0"/>
    <cellStyle name="Percent" xfId="1" builtinId="5"/>
  </cellStyles>
  <dxfs count="49">
    <dxf>
      <numFmt numFmtId="165" formatCode="0.0%"/>
    </dxf>
    <dxf>
      <numFmt numFmtId="165"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9"/>
        </bottom>
        <vertical/>
        <horizontal/>
      </border>
    </dxf>
    <dxf>
      <font>
        <color theme="1"/>
      </font>
      <border diagonalUp="0" diagonalDown="0">
        <left/>
        <right/>
        <top/>
        <bottom/>
        <vertical/>
        <horizontal/>
      </border>
    </dxf>
    <dxf>
      <font>
        <color theme="1"/>
        <name val="Arial"/>
        <family val="2"/>
      </font>
      <fill>
        <patternFill patternType="none">
          <bgColor auto="1"/>
        </patternFill>
      </fill>
      <border diagonalUp="0" diagonalDown="0">
        <left/>
        <right/>
        <top/>
        <bottom/>
        <vertical/>
        <horizontal/>
      </border>
    </dxf>
  </dxfs>
  <tableStyles count="2" defaultTableStyle="TableStyleMedium2" defaultPivotStyle="PivotStyleLight16">
    <tableStyle name="Slicer Custom" pivot="0" table="0" count="5" xr9:uid="{A5114EC7-C736-4C8A-B241-13B6D55F5205}">
      <tableStyleElement type="wholeTable" dxfId="48"/>
    </tableStyle>
    <tableStyle name="Slicer Green Disha" pivot="0" table="0" count="10" xr9:uid="{56140807-DFF4-44B1-B723-CED4CD1E2778}">
      <tableStyleElement type="wholeTable" dxfId="47"/>
      <tableStyleElement type="headerRow" dxfId="46"/>
    </tableStyle>
  </tableStyles>
  <colors>
    <mruColors>
      <color rgb="FF2D471D"/>
      <color rgb="FF314D1F"/>
      <color rgb="FFE0F2CE"/>
      <color rgb="FFCFEBB3"/>
      <color rgb="FF324D1F"/>
      <color rgb="FFE8F967"/>
      <color rgb="FFC0E59B"/>
      <color rgb="FFEEF8E4"/>
      <color rgb="FFFFFFB3"/>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color theme="0"/>
            <name val="Arial"/>
            <family val="2"/>
          </font>
          <fill>
            <patternFill>
              <bgColor rgb="FF314D1F"/>
            </patternFill>
          </fill>
          <border>
            <left style="medium">
              <color theme="0"/>
            </left>
            <right style="medium">
              <color theme="0"/>
            </right>
            <top style="medium">
              <color theme="0"/>
            </top>
            <bottom style="medium">
              <color theme="0"/>
            </bottom>
          </border>
        </dxf>
        <dxf>
          <font>
            <b/>
            <i val="0"/>
            <color theme="1"/>
            <name val="Arial"/>
            <family val="2"/>
          </font>
          <fill>
            <patternFill>
              <bgColor rgb="FF314D1F"/>
            </patternFill>
          </fill>
          <border>
            <left style="medium">
              <color rgb="FFE0F2CE"/>
            </left>
            <right style="medium">
              <color rgb="FFE0F2CE"/>
            </right>
            <top style="medium">
              <color rgb="FFE0F2CE"/>
            </top>
            <bottom style="medium">
              <color rgb="FFE0F2CE"/>
            </bottom>
          </border>
        </dxf>
        <dxf>
          <font>
            <b/>
            <i val="0"/>
            <color rgb="FFE0F2CE"/>
            <name val="Arial"/>
            <family val="2"/>
          </font>
          <fill>
            <patternFill>
              <bgColor rgb="FF314D1F"/>
            </patternFill>
          </fill>
          <border>
            <left style="medium">
              <color rgb="FFE0F2CE"/>
            </left>
            <right style="medium">
              <color rgb="FFE0F2CE"/>
            </right>
            <top style="medium">
              <color rgb="FFE0F2CE"/>
            </top>
            <bottom style="medium">
              <color rgb="FFE0F2CE"/>
            </bottom>
          </border>
        </dxf>
        <dxf>
          <font>
            <color theme="1"/>
            <name val="Arial"/>
            <family val="2"/>
          </font>
          <fill>
            <patternFill>
              <bgColor theme="0"/>
            </patternFill>
          </fill>
          <border>
            <left style="thin">
              <color theme="2" tint="-9.9948118533890809E-2"/>
            </left>
            <right style="thin">
              <color theme="2" tint="-9.9948118533890809E-2"/>
            </right>
            <top style="thin">
              <color theme="2" tint="-9.9948118533890809E-2"/>
            </top>
            <bottom style="thin">
              <color theme="2" tint="-9.9948118533890809E-2"/>
            </bottom>
          </border>
        </dxf>
      </x14:dxfs>
    </ext>
    <ext xmlns:x14="http://schemas.microsoft.com/office/spreadsheetml/2009/9/main" uri="{EB79DEF2-80B8-43e5-95BD-54CBDDF9020C}">
      <x14:slicerStyles defaultSlicerStyle="SlicerStyleLight1">
        <x14:slicerStyle name="Slicer Custom">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Green Dish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[Yearly Attendance Tracking Dashboard.xlsx]Pivots!Monthly_Att</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24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31E-2"/>
          <c:y val="6.4814814814814811E-2"/>
          <c:w val="0.80435477875281869"/>
          <c:h val="0.59411237257392546"/>
        </c:manualLayout>
      </c:layout>
      <c:barChart>
        <c:barDir val="col"/>
        <c:grouping val="stacked"/>
        <c:varyColors val="0"/>
        <c:ser>
          <c:idx val="0"/>
          <c:order val="0"/>
          <c:tx>
            <c:strRef>
              <c:f>Pivots!$AD$2</c:f>
              <c:strCache>
                <c:ptCount val="1"/>
                <c:pt idx="0">
                  <c:v> Presence</c:v>
                </c:pt>
              </c:strCache>
            </c:strRef>
          </c:tx>
          <c:spPr>
            <a:solidFill>
              <a:srgbClr val="324D1F"/>
            </a:solidFill>
            <a:ln>
              <a:noFill/>
            </a:ln>
            <a:effectLst/>
          </c:spPr>
          <c:invertIfNegative val="0"/>
          <c:cat>
            <c:strRef>
              <c:f>Pivots!$AC$3:$AC$15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Pivots!$AD$3:$AD$15</c:f>
              <c:numCache>
                <c:formatCode>General</c:formatCode>
                <c:ptCount val="12"/>
                <c:pt idx="0">
                  <c:v>243</c:v>
                </c:pt>
                <c:pt idx="1">
                  <c:v>211</c:v>
                </c:pt>
                <c:pt idx="2">
                  <c:v>234</c:v>
                </c:pt>
                <c:pt idx="3">
                  <c:v>266</c:v>
                </c:pt>
                <c:pt idx="4">
                  <c:v>265</c:v>
                </c:pt>
                <c:pt idx="5">
                  <c:v>255</c:v>
                </c:pt>
                <c:pt idx="6">
                  <c:v>286</c:v>
                </c:pt>
                <c:pt idx="7">
                  <c:v>253</c:v>
                </c:pt>
                <c:pt idx="8">
                  <c:v>266</c:v>
                </c:pt>
                <c:pt idx="9">
                  <c:v>244</c:v>
                </c:pt>
                <c:pt idx="10">
                  <c:v>241</c:v>
                </c:pt>
                <c:pt idx="11">
                  <c:v>261</c:v>
                </c:pt>
              </c:numCache>
            </c:numRef>
          </c:val>
          <c:extLst>
            <c:ext xmlns:c16="http://schemas.microsoft.com/office/drawing/2014/chart" uri="{C3380CC4-5D6E-409C-BE32-E72D297353CC}">
              <c16:uniqueId val="{00000000-9962-42DB-B897-AAF32806D475}"/>
            </c:ext>
          </c:extLst>
        </c:ser>
        <c:ser>
          <c:idx val="1"/>
          <c:order val="1"/>
          <c:tx>
            <c:strRef>
              <c:f>Pivots!$AE$2</c:f>
              <c:strCache>
                <c:ptCount val="1"/>
                <c:pt idx="0">
                  <c:v> Absence</c:v>
                </c:pt>
              </c:strCache>
            </c:strRef>
          </c:tx>
          <c:spPr>
            <a:solidFill>
              <a:srgbClr val="C00000"/>
            </a:solidFill>
            <a:ln>
              <a:noFill/>
            </a:ln>
            <a:effectLst/>
          </c:spPr>
          <c:invertIfNegative val="0"/>
          <c:cat>
            <c:strRef>
              <c:f>Pivots!$AC$3:$AC$15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Pivots!$AE$3:$AE$15</c:f>
              <c:numCache>
                <c:formatCode>General</c:formatCode>
                <c:ptCount val="12"/>
                <c:pt idx="0">
                  <c:v>10</c:v>
                </c:pt>
                <c:pt idx="1">
                  <c:v>9</c:v>
                </c:pt>
                <c:pt idx="2">
                  <c:v>8</c:v>
                </c:pt>
                <c:pt idx="3">
                  <c:v>9</c:v>
                </c:pt>
                <c:pt idx="4">
                  <c:v>10</c:v>
                </c:pt>
                <c:pt idx="5">
                  <c:v>9</c:v>
                </c:pt>
                <c:pt idx="6">
                  <c:v>11</c:v>
                </c:pt>
                <c:pt idx="7">
                  <c:v>11</c:v>
                </c:pt>
                <c:pt idx="8">
                  <c:v>9</c:v>
                </c:pt>
                <c:pt idx="9">
                  <c:v>9</c:v>
                </c:pt>
                <c:pt idx="10">
                  <c:v>12</c:v>
                </c:pt>
                <c:pt idx="11">
                  <c:v>14</c:v>
                </c:pt>
              </c:numCache>
            </c:numRef>
          </c:val>
          <c:extLst>
            <c:ext xmlns:c16="http://schemas.microsoft.com/office/drawing/2014/chart" uri="{C3380CC4-5D6E-409C-BE32-E72D297353CC}">
              <c16:uniqueId val="{00000001-9962-42DB-B897-AAF32806D475}"/>
            </c:ext>
          </c:extLst>
        </c:ser>
        <c:dLbls>
          <c:showLegendKey val="0"/>
          <c:showVal val="0"/>
          <c:showCatName val="0"/>
          <c:showSerName val="0"/>
          <c:showPercent val="0"/>
          <c:showBubbleSize val="0"/>
        </c:dLbls>
        <c:gapWidth val="219"/>
        <c:overlap val="100"/>
        <c:axId val="113637216"/>
        <c:axId val="113622336"/>
      </c:barChart>
      <c:lineChart>
        <c:grouping val="standard"/>
        <c:varyColors val="0"/>
        <c:ser>
          <c:idx val="2"/>
          <c:order val="2"/>
          <c:tx>
            <c:strRef>
              <c:f>Pivots!$AF$2</c:f>
              <c:strCache>
                <c:ptCount val="1"/>
                <c:pt idx="0">
                  <c:v> Leave</c:v>
                </c:pt>
              </c:strCache>
            </c:strRef>
          </c:tx>
          <c:spPr>
            <a:ln w="28575" cap="rnd">
              <a:solidFill>
                <a:srgbClr val="FFFF00"/>
              </a:solidFill>
              <a:round/>
            </a:ln>
            <a:effectLst/>
          </c:spPr>
          <c:marker>
            <c:symbol val="circle"/>
            <c:size val="5"/>
            <c:spPr>
              <a:solidFill>
                <a:schemeClr val="accent3"/>
              </a:solidFill>
              <a:ln w="9525">
                <a:solidFill>
                  <a:schemeClr val="accent3"/>
                </a:solidFill>
              </a:ln>
              <a:effectLst/>
            </c:spPr>
          </c:marker>
          <c:cat>
            <c:strRef>
              <c:f>Pivots!$AC$3:$AC$15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Pivots!$AF$3:$AF$15</c:f>
              <c:numCache>
                <c:formatCode>General</c:formatCode>
                <c:ptCount val="12"/>
                <c:pt idx="0">
                  <c:v>44</c:v>
                </c:pt>
                <c:pt idx="1">
                  <c:v>44</c:v>
                </c:pt>
                <c:pt idx="2">
                  <c:v>44</c:v>
                </c:pt>
                <c:pt idx="3">
                  <c:v>11</c:v>
                </c:pt>
                <c:pt idx="4">
                  <c:v>22</c:v>
                </c:pt>
                <c:pt idx="5">
                  <c:v>11</c:v>
                </c:pt>
                <c:pt idx="6">
                  <c:v>0</c:v>
                </c:pt>
                <c:pt idx="7">
                  <c:v>22</c:v>
                </c:pt>
                <c:pt idx="8">
                  <c:v>11</c:v>
                </c:pt>
                <c:pt idx="9">
                  <c:v>44</c:v>
                </c:pt>
                <c:pt idx="10">
                  <c:v>22</c:v>
                </c:pt>
                <c:pt idx="11">
                  <c:v>22</c:v>
                </c:pt>
              </c:numCache>
            </c:numRef>
          </c:val>
          <c:smooth val="0"/>
          <c:extLst>
            <c:ext xmlns:c16="http://schemas.microsoft.com/office/drawing/2014/chart" uri="{C3380CC4-5D6E-409C-BE32-E72D297353CC}">
              <c16:uniqueId val="{00000002-9962-42DB-B897-AAF32806D475}"/>
            </c:ext>
          </c:extLst>
        </c:ser>
        <c:dLbls>
          <c:showLegendKey val="0"/>
          <c:showVal val="0"/>
          <c:showCatName val="0"/>
          <c:showSerName val="0"/>
          <c:showPercent val="0"/>
          <c:showBubbleSize val="0"/>
        </c:dLbls>
        <c:marker val="1"/>
        <c:smooth val="0"/>
        <c:axId val="113670816"/>
        <c:axId val="113654976"/>
      </c:lineChart>
      <c:catAx>
        <c:axId val="1136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2336"/>
        <c:crosses val="autoZero"/>
        <c:auto val="1"/>
        <c:lblAlgn val="ctr"/>
        <c:lblOffset val="100"/>
        <c:noMultiLvlLbl val="0"/>
      </c:catAx>
      <c:valAx>
        <c:axId val="1136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37216"/>
        <c:crosses val="autoZero"/>
        <c:crossBetween val="between"/>
      </c:valAx>
      <c:valAx>
        <c:axId val="1136549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70816"/>
        <c:crosses val="max"/>
        <c:crossBetween val="between"/>
      </c:valAx>
      <c:catAx>
        <c:axId val="113670816"/>
        <c:scaling>
          <c:orientation val="minMax"/>
        </c:scaling>
        <c:delete val="1"/>
        <c:axPos val="b"/>
        <c:numFmt formatCode="General" sourceLinked="1"/>
        <c:majorTickMark val="out"/>
        <c:minorTickMark val="none"/>
        <c:tickLblPos val="nextTo"/>
        <c:crossAx val="1136549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645119082067866"/>
          <c:y val="8.0410218745869677E-2"/>
          <c:w val="0.5414253502146511"/>
          <c:h val="0.91958978125413038"/>
        </c:manualLayout>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7008-436B-8611-E689590F6645}"/>
              </c:ext>
            </c:extLst>
          </c:dPt>
          <c:dPt>
            <c:idx val="1"/>
            <c:bubble3D val="0"/>
            <c:spPr>
              <a:noFill/>
              <a:ln w="19050">
                <a:solidFill>
                  <a:srgbClr val="FFFF00"/>
                </a:solidFill>
              </a:ln>
              <a:effectLst/>
            </c:spPr>
            <c:extLst>
              <c:ext xmlns:c16="http://schemas.microsoft.com/office/drawing/2014/chart" uri="{C3380CC4-5D6E-409C-BE32-E72D297353CC}">
                <c16:uniqueId val="{00000003-7008-436B-8611-E689590F6645}"/>
              </c:ext>
            </c:extLst>
          </c:dPt>
          <c:dPt>
            <c:idx val="2"/>
            <c:bubble3D val="0"/>
            <c:spPr>
              <a:noFill/>
              <a:ln w="19050">
                <a:noFill/>
              </a:ln>
              <a:effectLst/>
            </c:spPr>
            <c:extLst>
              <c:ext xmlns:c16="http://schemas.microsoft.com/office/drawing/2014/chart" uri="{C3380CC4-5D6E-409C-BE32-E72D297353CC}">
                <c16:uniqueId val="{00000005-7008-436B-8611-E689590F6645}"/>
              </c:ext>
            </c:extLst>
          </c:dPt>
          <c:cat>
            <c:strRef>
              <c:f>Pivots!$F$47:$F$49</c:f>
              <c:strCache>
                <c:ptCount val="3"/>
                <c:pt idx="0">
                  <c:v>Actual</c:v>
                </c:pt>
                <c:pt idx="1">
                  <c:v>Total</c:v>
                </c:pt>
                <c:pt idx="2">
                  <c:v>Extra</c:v>
                </c:pt>
              </c:strCache>
            </c:strRef>
          </c:cat>
          <c:val>
            <c:numRef>
              <c:f>Pivots!$G$47:$G$49</c:f>
              <c:numCache>
                <c:formatCode>0%</c:formatCode>
                <c:ptCount val="3"/>
                <c:pt idx="0">
                  <c:v>0.96986301369863015</c:v>
                </c:pt>
                <c:pt idx="1">
                  <c:v>3.013698630136985E-2</c:v>
                </c:pt>
                <c:pt idx="2">
                  <c:v>1</c:v>
                </c:pt>
              </c:numCache>
            </c:numRef>
          </c:val>
          <c:extLst>
            <c:ext xmlns:c16="http://schemas.microsoft.com/office/drawing/2014/chart" uri="{C3380CC4-5D6E-409C-BE32-E72D297353CC}">
              <c16:uniqueId val="{00000006-7008-436B-8611-E689590F6645}"/>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[Yearly Attendance Tracking Dashboard.xlsx]Pivots!Emp Att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4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849427390879607E-2"/>
          <c:y val="7.2354417002148549E-2"/>
          <c:w val="0.94555209956677477"/>
          <c:h val="0.63660283543869978"/>
        </c:manualLayout>
      </c:layout>
      <c:barChart>
        <c:barDir val="col"/>
        <c:grouping val="clustered"/>
        <c:varyColors val="0"/>
        <c:ser>
          <c:idx val="0"/>
          <c:order val="0"/>
          <c:tx>
            <c:strRef>
              <c:f>Pivots!$AR$2</c:f>
              <c:strCache>
                <c:ptCount val="1"/>
                <c:pt idx="0">
                  <c:v>Presence </c:v>
                </c:pt>
              </c:strCache>
            </c:strRef>
          </c:tx>
          <c:spPr>
            <a:solidFill>
              <a:srgbClr val="324D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Pivots!$AQ$3:$AQ$13</c:f>
              <c:strCache>
                <c:ptCount val="11"/>
                <c:pt idx="0">
                  <c:v>Emp001</c:v>
                </c:pt>
                <c:pt idx="1">
                  <c:v>Emp002</c:v>
                </c:pt>
                <c:pt idx="2">
                  <c:v>Emp003</c:v>
                </c:pt>
                <c:pt idx="3">
                  <c:v>Emp004</c:v>
                </c:pt>
                <c:pt idx="4">
                  <c:v>Emp005</c:v>
                </c:pt>
                <c:pt idx="5">
                  <c:v>Emp006</c:v>
                </c:pt>
                <c:pt idx="6">
                  <c:v>Emp007</c:v>
                </c:pt>
                <c:pt idx="7">
                  <c:v>Emp008</c:v>
                </c:pt>
                <c:pt idx="8">
                  <c:v>Emp009</c:v>
                </c:pt>
                <c:pt idx="9">
                  <c:v>Emp010</c:v>
                </c:pt>
                <c:pt idx="10">
                  <c:v>Emp011</c:v>
                </c:pt>
              </c:strCache>
            </c:strRef>
          </c:cat>
          <c:val>
            <c:numRef>
              <c:f>Pivots!$AR$3:$AR$13</c:f>
              <c:numCache>
                <c:formatCode>General</c:formatCode>
                <c:ptCount val="11"/>
                <c:pt idx="0">
                  <c:v>273</c:v>
                </c:pt>
                <c:pt idx="1">
                  <c:v>278</c:v>
                </c:pt>
                <c:pt idx="2">
                  <c:v>271</c:v>
                </c:pt>
                <c:pt idx="3">
                  <c:v>281</c:v>
                </c:pt>
                <c:pt idx="4">
                  <c:v>273</c:v>
                </c:pt>
                <c:pt idx="5">
                  <c:v>275</c:v>
                </c:pt>
                <c:pt idx="6">
                  <c:v>276</c:v>
                </c:pt>
                <c:pt idx="7">
                  <c:v>274</c:v>
                </c:pt>
                <c:pt idx="8">
                  <c:v>274</c:v>
                </c:pt>
                <c:pt idx="9">
                  <c:v>275</c:v>
                </c:pt>
                <c:pt idx="10">
                  <c:v>275</c:v>
                </c:pt>
              </c:numCache>
            </c:numRef>
          </c:val>
          <c:extLst>
            <c:ext xmlns:c16="http://schemas.microsoft.com/office/drawing/2014/chart" uri="{C3380CC4-5D6E-409C-BE32-E72D297353CC}">
              <c16:uniqueId val="{00000000-37AF-4987-8B76-464809B909CB}"/>
            </c:ext>
          </c:extLst>
        </c:ser>
        <c:ser>
          <c:idx val="1"/>
          <c:order val="1"/>
          <c:tx>
            <c:strRef>
              <c:f>Pivots!$AS$2</c:f>
              <c:strCache>
                <c:ptCount val="1"/>
                <c:pt idx="0">
                  <c:v> Absence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Pivots!$AQ$3:$AQ$13</c:f>
              <c:strCache>
                <c:ptCount val="11"/>
                <c:pt idx="0">
                  <c:v>Emp001</c:v>
                </c:pt>
                <c:pt idx="1">
                  <c:v>Emp002</c:v>
                </c:pt>
                <c:pt idx="2">
                  <c:v>Emp003</c:v>
                </c:pt>
                <c:pt idx="3">
                  <c:v>Emp004</c:v>
                </c:pt>
                <c:pt idx="4">
                  <c:v>Emp005</c:v>
                </c:pt>
                <c:pt idx="5">
                  <c:v>Emp006</c:v>
                </c:pt>
                <c:pt idx="6">
                  <c:v>Emp007</c:v>
                </c:pt>
                <c:pt idx="7">
                  <c:v>Emp008</c:v>
                </c:pt>
                <c:pt idx="8">
                  <c:v>Emp009</c:v>
                </c:pt>
                <c:pt idx="9">
                  <c:v>Emp010</c:v>
                </c:pt>
                <c:pt idx="10">
                  <c:v>Emp011</c:v>
                </c:pt>
              </c:strCache>
            </c:strRef>
          </c:cat>
          <c:val>
            <c:numRef>
              <c:f>Pivots!$AS$3:$AS$13</c:f>
              <c:numCache>
                <c:formatCode>General</c:formatCode>
                <c:ptCount val="11"/>
                <c:pt idx="0">
                  <c:v>13</c:v>
                </c:pt>
                <c:pt idx="1">
                  <c:v>8</c:v>
                </c:pt>
                <c:pt idx="2">
                  <c:v>15</c:v>
                </c:pt>
                <c:pt idx="3">
                  <c:v>5</c:v>
                </c:pt>
                <c:pt idx="4">
                  <c:v>13</c:v>
                </c:pt>
                <c:pt idx="5">
                  <c:v>11</c:v>
                </c:pt>
                <c:pt idx="6">
                  <c:v>10</c:v>
                </c:pt>
                <c:pt idx="7">
                  <c:v>12</c:v>
                </c:pt>
                <c:pt idx="8">
                  <c:v>12</c:v>
                </c:pt>
                <c:pt idx="9">
                  <c:v>11</c:v>
                </c:pt>
                <c:pt idx="10">
                  <c:v>11</c:v>
                </c:pt>
              </c:numCache>
            </c:numRef>
          </c:val>
          <c:extLst>
            <c:ext xmlns:c16="http://schemas.microsoft.com/office/drawing/2014/chart" uri="{C3380CC4-5D6E-409C-BE32-E72D297353CC}">
              <c16:uniqueId val="{00000001-37AF-4987-8B76-464809B909CB}"/>
            </c:ext>
          </c:extLst>
        </c:ser>
        <c:dLbls>
          <c:dLblPos val="outEnd"/>
          <c:showLegendKey val="0"/>
          <c:showVal val="1"/>
          <c:showCatName val="0"/>
          <c:showSerName val="0"/>
          <c:showPercent val="0"/>
          <c:showBubbleSize val="0"/>
        </c:dLbls>
        <c:gapWidth val="219"/>
        <c:overlap val="-27"/>
        <c:axId val="864770080"/>
        <c:axId val="864746560"/>
      </c:barChart>
      <c:catAx>
        <c:axId val="86477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46560"/>
        <c:crosses val="autoZero"/>
        <c:auto val="1"/>
        <c:lblAlgn val="ctr"/>
        <c:lblOffset val="100"/>
        <c:noMultiLvlLbl val="0"/>
      </c:catAx>
      <c:valAx>
        <c:axId val="864746560"/>
        <c:scaling>
          <c:orientation val="minMax"/>
        </c:scaling>
        <c:delete val="1"/>
        <c:axPos val="l"/>
        <c:numFmt formatCode="General" sourceLinked="1"/>
        <c:majorTickMark val="none"/>
        <c:minorTickMark val="none"/>
        <c:tickLblPos val="nextTo"/>
        <c:crossAx val="864770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Salary Breakdown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Breakdown</a:t>
          </a:r>
        </a:p>
      </cx:txPr>
    </cx:title>
    <cx:plotArea>
      <cx:plotAreaRegion>
        <cx:series layoutId="funnel" uniqueId="{4B7AA7A3-E773-4FBB-A0F7-191549D7376C}">
          <cx:spPr>
            <a:solidFill>
              <a:srgbClr val="324D1F"/>
            </a:solidFill>
          </cx:spPr>
          <cx:dataPt idx="1">
            <cx:spPr>
              <a:solidFill>
                <a:srgbClr val="92D050"/>
              </a:solidFill>
            </cx:spPr>
          </cx:dataPt>
          <cx:dataPt idx="3">
            <cx:spPr>
              <a:solidFill>
                <a:srgbClr val="FF0000"/>
              </a:solidFill>
            </cx:spPr>
          </cx:dataPt>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hyperlink" Target="DYNAMIC%20ATTENDANCE.xlsm" TargetMode="External"/><Relationship Id="rId12" Type="http://schemas.openxmlformats.org/officeDocument/2006/relationships/image" Target="../media/image9.png"/><Relationship Id="rId17" Type="http://schemas.openxmlformats.org/officeDocument/2006/relationships/chart" Target="../charts/chart1.xml"/><Relationship Id="rId2" Type="http://schemas.openxmlformats.org/officeDocument/2006/relationships/image" Target="../media/image1.png"/><Relationship Id="rId16" Type="http://schemas.microsoft.com/office/2014/relationships/chartEx" Target="../charts/chartEx1.xml"/><Relationship Id="rId1" Type="http://schemas.openxmlformats.org/officeDocument/2006/relationships/hyperlink" Target="#Pivots!A1"/><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image" Target="../media/image12.svg"/><Relationship Id="rId10" Type="http://schemas.openxmlformats.org/officeDocument/2006/relationships/image" Target="../media/image7.png"/><Relationship Id="rId19" Type="http://schemas.openxmlformats.org/officeDocument/2006/relationships/chart" Target="../charts/chart3.xml"/><Relationship Id="rId4" Type="http://schemas.openxmlformats.org/officeDocument/2006/relationships/hyperlink" Target="#RawData!A1"/><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85377</xdr:rowOff>
    </xdr:from>
    <xdr:to>
      <xdr:col>12</xdr:col>
      <xdr:colOff>202165</xdr:colOff>
      <xdr:row>7</xdr:row>
      <xdr:rowOff>155510</xdr:rowOff>
    </xdr:to>
    <xdr:sp macro="" textlink="">
      <xdr:nvSpPr>
        <xdr:cNvPr id="2" name="Rectangle: Top Corners Rounded 1">
          <a:extLst>
            <a:ext uri="{FF2B5EF4-FFF2-40B4-BE49-F238E27FC236}">
              <a16:creationId xmlns:a16="http://schemas.microsoft.com/office/drawing/2014/main" id="{C5DA3680-368A-85E8-713B-6217CCD14625}"/>
            </a:ext>
          </a:extLst>
        </xdr:cNvPr>
        <xdr:cNvSpPr/>
      </xdr:nvSpPr>
      <xdr:spPr>
        <a:xfrm rot="5400000">
          <a:off x="3121954" y="-3036577"/>
          <a:ext cx="1292508" cy="7536415"/>
        </a:xfrm>
        <a:prstGeom prst="round2Same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12</xdr:col>
      <xdr:colOff>336990</xdr:colOff>
      <xdr:row>0</xdr:row>
      <xdr:rowOff>77601</xdr:rowOff>
    </xdr:from>
    <xdr:to>
      <xdr:col>15</xdr:col>
      <xdr:colOff>552060</xdr:colOff>
      <xdr:row>7</xdr:row>
      <xdr:rowOff>178837</xdr:rowOff>
    </xdr:to>
    <xdr:sp macro="" textlink="">
      <xdr:nvSpPr>
        <xdr:cNvPr id="3" name="Rectangle: Rounded Corners 2">
          <a:extLst>
            <a:ext uri="{FF2B5EF4-FFF2-40B4-BE49-F238E27FC236}">
              <a16:creationId xmlns:a16="http://schemas.microsoft.com/office/drawing/2014/main" id="{1473D283-51BD-8FB0-8245-0CC57E3861FF}"/>
            </a:ext>
          </a:extLst>
        </xdr:cNvPr>
        <xdr:cNvSpPr/>
      </xdr:nvSpPr>
      <xdr:spPr>
        <a:xfrm>
          <a:off x="7614868" y="77601"/>
          <a:ext cx="2034539" cy="1353093"/>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16</xdr:col>
      <xdr:colOff>85536</xdr:colOff>
      <xdr:row>0</xdr:row>
      <xdr:rowOff>62204</xdr:rowOff>
    </xdr:from>
    <xdr:to>
      <xdr:col>23</xdr:col>
      <xdr:colOff>404327</xdr:colOff>
      <xdr:row>7</xdr:row>
      <xdr:rowOff>30348</xdr:rowOff>
    </xdr:to>
    <xdr:sp macro="" textlink="">
      <xdr:nvSpPr>
        <xdr:cNvPr id="4" name="Rectangle: Rounded Corners 3">
          <a:extLst>
            <a:ext uri="{FF2B5EF4-FFF2-40B4-BE49-F238E27FC236}">
              <a16:creationId xmlns:a16="http://schemas.microsoft.com/office/drawing/2014/main" id="{498C8935-74B8-4921-B96E-C15004A917E8}"/>
            </a:ext>
          </a:extLst>
        </xdr:cNvPr>
        <xdr:cNvSpPr/>
      </xdr:nvSpPr>
      <xdr:spPr>
        <a:xfrm>
          <a:off x="9789373" y="62204"/>
          <a:ext cx="4564219" cy="122000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0</xdr:col>
      <xdr:colOff>114611</xdr:colOff>
      <xdr:row>8</xdr:row>
      <xdr:rowOff>77755</xdr:rowOff>
    </xdr:from>
    <xdr:to>
      <xdr:col>15</xdr:col>
      <xdr:colOff>474306</xdr:colOff>
      <xdr:row>24</xdr:row>
      <xdr:rowOff>0</xdr:rowOff>
    </xdr:to>
    <xdr:sp macro="" textlink="">
      <xdr:nvSpPr>
        <xdr:cNvPr id="5" name="Rectangle: Rounded Corners 4">
          <a:extLst>
            <a:ext uri="{FF2B5EF4-FFF2-40B4-BE49-F238E27FC236}">
              <a16:creationId xmlns:a16="http://schemas.microsoft.com/office/drawing/2014/main" id="{8FC02CB1-E40A-41FE-9284-98A1297F4E95}"/>
            </a:ext>
          </a:extLst>
        </xdr:cNvPr>
        <xdr:cNvSpPr/>
      </xdr:nvSpPr>
      <xdr:spPr>
        <a:xfrm>
          <a:off x="114611" y="1516224"/>
          <a:ext cx="9457042" cy="2908041"/>
        </a:xfrm>
        <a:prstGeom prst="roundRect">
          <a:avLst>
            <a:gd name="adj" fmla="val 12319"/>
          </a:avLst>
        </a:prstGeom>
        <a:solidFill>
          <a:schemeClr val="accent6">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0</xdr:col>
      <xdr:colOff>122903</xdr:colOff>
      <xdr:row>24</xdr:row>
      <xdr:rowOff>124408</xdr:rowOff>
    </xdr:from>
    <xdr:to>
      <xdr:col>6</xdr:col>
      <xdr:colOff>159774</xdr:colOff>
      <xdr:row>31</xdr:row>
      <xdr:rowOff>110613</xdr:rowOff>
    </xdr:to>
    <xdr:sp macro="" textlink="">
      <xdr:nvSpPr>
        <xdr:cNvPr id="6" name="Rectangle: Rounded Corners 5">
          <a:extLst>
            <a:ext uri="{FF2B5EF4-FFF2-40B4-BE49-F238E27FC236}">
              <a16:creationId xmlns:a16="http://schemas.microsoft.com/office/drawing/2014/main" id="{D5457F36-F8B1-40B6-812B-E6FC477DB372}"/>
            </a:ext>
          </a:extLst>
        </xdr:cNvPr>
        <xdr:cNvSpPr/>
      </xdr:nvSpPr>
      <xdr:spPr>
        <a:xfrm>
          <a:off x="122903" y="4499763"/>
          <a:ext cx="3723968" cy="127668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6</xdr:col>
      <xdr:colOff>294968</xdr:colOff>
      <xdr:row>24</xdr:row>
      <xdr:rowOff>135193</xdr:rowOff>
    </xdr:from>
    <xdr:to>
      <xdr:col>15</xdr:col>
      <xdr:colOff>503903</xdr:colOff>
      <xdr:row>37</xdr:row>
      <xdr:rowOff>1924</xdr:rowOff>
    </xdr:to>
    <xdr:sp macro="" textlink="">
      <xdr:nvSpPr>
        <xdr:cNvPr id="7" name="Rectangle: Rounded Corners 6">
          <a:extLst>
            <a:ext uri="{FF2B5EF4-FFF2-40B4-BE49-F238E27FC236}">
              <a16:creationId xmlns:a16="http://schemas.microsoft.com/office/drawing/2014/main" id="{7D835306-4F5B-4371-8243-2C8781C9F961}"/>
            </a:ext>
          </a:extLst>
        </xdr:cNvPr>
        <xdr:cNvSpPr/>
      </xdr:nvSpPr>
      <xdr:spPr>
        <a:xfrm>
          <a:off x="3982065" y="4510548"/>
          <a:ext cx="5739580" cy="2263344"/>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16</xdr:col>
      <xdr:colOff>23325</xdr:colOff>
      <xdr:row>24</xdr:row>
      <xdr:rowOff>73742</xdr:rowOff>
    </xdr:from>
    <xdr:to>
      <xdr:col>23</xdr:col>
      <xdr:colOff>412102</xdr:colOff>
      <xdr:row>37</xdr:row>
      <xdr:rowOff>7938</xdr:rowOff>
    </xdr:to>
    <xdr:sp macro="" textlink="">
      <xdr:nvSpPr>
        <xdr:cNvPr id="8" name="Rectangle: Rounded Corners 7">
          <a:extLst>
            <a:ext uri="{FF2B5EF4-FFF2-40B4-BE49-F238E27FC236}">
              <a16:creationId xmlns:a16="http://schemas.microsoft.com/office/drawing/2014/main" id="{B14E1D72-CB16-4114-B218-A95D5031C58C}"/>
            </a:ext>
          </a:extLst>
        </xdr:cNvPr>
        <xdr:cNvSpPr/>
      </xdr:nvSpPr>
      <xdr:spPr>
        <a:xfrm>
          <a:off x="9802325" y="4399680"/>
          <a:ext cx="4667090" cy="2307508"/>
        </a:xfrm>
        <a:prstGeom prst="roundRect">
          <a:avLst>
            <a:gd name="adj" fmla="val 16013"/>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16</xdr:col>
      <xdr:colOff>46644</xdr:colOff>
      <xdr:row>7</xdr:row>
      <xdr:rowOff>147735</xdr:rowOff>
    </xdr:from>
    <xdr:to>
      <xdr:col>23</xdr:col>
      <xdr:colOff>419878</xdr:colOff>
      <xdr:row>23</xdr:row>
      <xdr:rowOff>139960</xdr:rowOff>
    </xdr:to>
    <xdr:sp macro="" textlink="">
      <xdr:nvSpPr>
        <xdr:cNvPr id="9" name="Rectangle: Rounded Corners 8">
          <a:extLst>
            <a:ext uri="{FF2B5EF4-FFF2-40B4-BE49-F238E27FC236}">
              <a16:creationId xmlns:a16="http://schemas.microsoft.com/office/drawing/2014/main" id="{9699C04F-3735-4D1D-B48A-AEC205982087}"/>
            </a:ext>
          </a:extLst>
        </xdr:cNvPr>
        <xdr:cNvSpPr/>
      </xdr:nvSpPr>
      <xdr:spPr>
        <a:xfrm>
          <a:off x="9750481" y="1399592"/>
          <a:ext cx="4618662" cy="2978021"/>
        </a:xfrm>
        <a:prstGeom prst="roundRect">
          <a:avLst>
            <a:gd name="adj" fmla="val 12122"/>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342900</xdr:colOff>
      <xdr:row>2</xdr:row>
      <xdr:rowOff>69984</xdr:rowOff>
    </xdr:from>
    <xdr:to>
      <xdr:col>8</xdr:col>
      <xdr:colOff>586740</xdr:colOff>
      <xdr:row>6</xdr:row>
      <xdr:rowOff>20221</xdr:rowOff>
    </xdr:to>
    <xdr:sp macro="" textlink="">
      <xdr:nvSpPr>
        <xdr:cNvPr id="10" name="TextBox 9">
          <a:extLst>
            <a:ext uri="{FF2B5EF4-FFF2-40B4-BE49-F238E27FC236}">
              <a16:creationId xmlns:a16="http://schemas.microsoft.com/office/drawing/2014/main" id="{1974C364-0542-E366-B2F9-ED12C5C9D576}"/>
            </a:ext>
          </a:extLst>
        </xdr:cNvPr>
        <xdr:cNvSpPr txBox="1"/>
      </xdr:nvSpPr>
      <xdr:spPr>
        <a:xfrm>
          <a:off x="342900" y="388780"/>
          <a:ext cx="5095758" cy="696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6">
                  <a:lumMod val="50000"/>
                </a:schemeClr>
              </a:solidFill>
            </a:rPr>
            <a:t>ATTENDANCE</a:t>
          </a:r>
          <a:r>
            <a:rPr lang="en-IN" sz="3600" b="1" baseline="0">
              <a:solidFill>
                <a:schemeClr val="accent6">
                  <a:lumMod val="50000"/>
                </a:schemeClr>
              </a:solidFill>
            </a:rPr>
            <a:t> TRACKER</a:t>
          </a:r>
          <a:endParaRPr lang="en-IN" sz="3600" b="1">
            <a:solidFill>
              <a:schemeClr val="accent6">
                <a:lumMod val="50000"/>
              </a:schemeClr>
            </a:solidFill>
          </a:endParaRPr>
        </a:p>
      </xdr:txBody>
    </xdr:sp>
    <xdr:clientData/>
  </xdr:twoCellAnchor>
  <xdr:twoCellAnchor>
    <xdr:from>
      <xdr:col>10</xdr:col>
      <xdr:colOff>121608</xdr:colOff>
      <xdr:row>4</xdr:row>
      <xdr:rowOff>22711</xdr:rowOff>
    </xdr:from>
    <xdr:to>
      <xdr:col>11</xdr:col>
      <xdr:colOff>53028</xdr:colOff>
      <xdr:row>7</xdr:row>
      <xdr:rowOff>15091</xdr:rowOff>
    </xdr:to>
    <xdr:grpSp>
      <xdr:nvGrpSpPr>
        <xdr:cNvPr id="67" name="Group 66">
          <a:hlinkClick xmlns:r="http://schemas.openxmlformats.org/officeDocument/2006/relationships" r:id="rId1"/>
          <a:extLst>
            <a:ext uri="{FF2B5EF4-FFF2-40B4-BE49-F238E27FC236}">
              <a16:creationId xmlns:a16="http://schemas.microsoft.com/office/drawing/2014/main" id="{565A4184-B086-3D19-F678-A9FDC063F0E0}"/>
            </a:ext>
          </a:extLst>
        </xdr:cNvPr>
        <xdr:cNvGrpSpPr/>
      </xdr:nvGrpSpPr>
      <xdr:grpSpPr>
        <a:xfrm>
          <a:off x="6233483" y="697399"/>
          <a:ext cx="542608" cy="540067"/>
          <a:chOff x="6233483" y="689462"/>
          <a:chExt cx="542608" cy="540067"/>
        </a:xfrm>
      </xdr:grpSpPr>
      <xdr:sp macro="" textlink="">
        <xdr:nvSpPr>
          <xdr:cNvPr id="13" name="Rectangle: Rounded Corners 12">
            <a:extLst>
              <a:ext uri="{FF2B5EF4-FFF2-40B4-BE49-F238E27FC236}">
                <a16:creationId xmlns:a16="http://schemas.microsoft.com/office/drawing/2014/main" id="{6AE50751-1BAC-4646-9668-5F51249FDD32}"/>
              </a:ext>
            </a:extLst>
          </xdr:cNvPr>
          <xdr:cNvSpPr/>
        </xdr:nvSpPr>
        <xdr:spPr>
          <a:xfrm>
            <a:off x="6256410" y="719888"/>
            <a:ext cx="496754" cy="494428"/>
          </a:xfrm>
          <a:prstGeom prst="roundRect">
            <a:avLst/>
          </a:prstGeom>
          <a:solidFill>
            <a:schemeClr val="bg1"/>
          </a:solidFill>
          <a:effectLst>
            <a:outerShdw blurRad="50800" dist="38100" dir="18900000" algn="b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5" name="Graphic 14" descr="Daily calendar with solid fill">
            <a:extLst>
              <a:ext uri="{FF2B5EF4-FFF2-40B4-BE49-F238E27FC236}">
                <a16:creationId xmlns:a16="http://schemas.microsoft.com/office/drawing/2014/main" id="{1B598C3B-E7C8-78A5-8950-88703D340C4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233483" y="689462"/>
            <a:ext cx="542608" cy="540067"/>
          </a:xfrm>
          <a:prstGeom prst="rect">
            <a:avLst/>
          </a:prstGeom>
        </xdr:spPr>
      </xdr:pic>
    </xdr:grpSp>
    <xdr:clientData/>
  </xdr:twoCellAnchor>
  <xdr:twoCellAnchor>
    <xdr:from>
      <xdr:col>11</xdr:col>
      <xdr:colOff>97127</xdr:colOff>
      <xdr:row>4</xdr:row>
      <xdr:rowOff>36348</xdr:rowOff>
    </xdr:from>
    <xdr:to>
      <xdr:col>12</xdr:col>
      <xdr:colOff>38567</xdr:colOff>
      <xdr:row>7</xdr:row>
      <xdr:rowOff>38748</xdr:rowOff>
    </xdr:to>
    <xdr:grpSp>
      <xdr:nvGrpSpPr>
        <xdr:cNvPr id="66" name="Group 65">
          <a:hlinkClick xmlns:r="http://schemas.openxmlformats.org/officeDocument/2006/relationships" r:id="rId4"/>
          <a:extLst>
            <a:ext uri="{FF2B5EF4-FFF2-40B4-BE49-F238E27FC236}">
              <a16:creationId xmlns:a16="http://schemas.microsoft.com/office/drawing/2014/main" id="{778ADB85-17F7-C24E-0D48-3CDBD1173277}"/>
            </a:ext>
          </a:extLst>
        </xdr:cNvPr>
        <xdr:cNvGrpSpPr/>
      </xdr:nvGrpSpPr>
      <xdr:grpSpPr>
        <a:xfrm>
          <a:off x="6820190" y="711036"/>
          <a:ext cx="552627" cy="550087"/>
          <a:chOff x="5677190" y="457035"/>
          <a:chExt cx="552627" cy="550087"/>
        </a:xfrm>
      </xdr:grpSpPr>
      <xdr:sp macro="" textlink="">
        <xdr:nvSpPr>
          <xdr:cNvPr id="12" name="Rectangle: Rounded Corners 11">
            <a:extLst>
              <a:ext uri="{FF2B5EF4-FFF2-40B4-BE49-F238E27FC236}">
                <a16:creationId xmlns:a16="http://schemas.microsoft.com/office/drawing/2014/main" id="{68FBC83E-2C75-4DA6-8C49-44798BCB49AE}"/>
              </a:ext>
            </a:extLst>
          </xdr:cNvPr>
          <xdr:cNvSpPr/>
        </xdr:nvSpPr>
        <xdr:spPr>
          <a:xfrm>
            <a:off x="5710262" y="473982"/>
            <a:ext cx="496727" cy="494443"/>
          </a:xfrm>
          <a:prstGeom prst="roundRect">
            <a:avLst/>
          </a:prstGeom>
          <a:solidFill>
            <a:schemeClr val="bg1"/>
          </a:solidFill>
          <a:effectLst>
            <a:outerShdw blurRad="50800" dist="38100" dir="18900000" algn="b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Graphic 16" descr="Database with solid fill">
            <a:extLst>
              <a:ext uri="{FF2B5EF4-FFF2-40B4-BE49-F238E27FC236}">
                <a16:creationId xmlns:a16="http://schemas.microsoft.com/office/drawing/2014/main" id="{CC68EA73-908D-F4C0-27E4-64A9B32D7A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5677190" y="457035"/>
            <a:ext cx="552627" cy="550087"/>
          </a:xfrm>
          <a:prstGeom prst="rect">
            <a:avLst/>
          </a:prstGeom>
        </xdr:spPr>
      </xdr:pic>
    </xdr:grpSp>
    <xdr:clientData/>
  </xdr:twoCellAnchor>
  <xdr:twoCellAnchor>
    <xdr:from>
      <xdr:col>11</xdr:col>
      <xdr:colOff>130161</xdr:colOff>
      <xdr:row>0</xdr:row>
      <xdr:rowOff>125985</xdr:rowOff>
    </xdr:from>
    <xdr:to>
      <xdr:col>12</xdr:col>
      <xdr:colOff>18971</xdr:colOff>
      <xdr:row>3</xdr:row>
      <xdr:rowOff>147113</xdr:rowOff>
    </xdr:to>
    <xdr:grpSp>
      <xdr:nvGrpSpPr>
        <xdr:cNvPr id="20" name="Group 19">
          <a:hlinkClick xmlns:r="http://schemas.openxmlformats.org/officeDocument/2006/relationships" r:id="rId7"/>
          <a:extLst>
            <a:ext uri="{FF2B5EF4-FFF2-40B4-BE49-F238E27FC236}">
              <a16:creationId xmlns:a16="http://schemas.microsoft.com/office/drawing/2014/main" id="{E6ADE589-5E4E-AC8E-C986-02EF2E6BC1EF}"/>
            </a:ext>
          </a:extLst>
        </xdr:cNvPr>
        <xdr:cNvGrpSpPr/>
      </xdr:nvGrpSpPr>
      <xdr:grpSpPr>
        <a:xfrm>
          <a:off x="6853224" y="125985"/>
          <a:ext cx="499997" cy="513253"/>
          <a:chOff x="6195060" y="193320"/>
          <a:chExt cx="495300" cy="515340"/>
        </a:xfrm>
      </xdr:grpSpPr>
      <xdr:sp macro="" textlink="">
        <xdr:nvSpPr>
          <xdr:cNvPr id="11" name="Rectangle: Rounded Corners 10">
            <a:extLst>
              <a:ext uri="{FF2B5EF4-FFF2-40B4-BE49-F238E27FC236}">
                <a16:creationId xmlns:a16="http://schemas.microsoft.com/office/drawing/2014/main" id="{AA6ABA32-B43E-5850-E71E-467FEC9F319F}"/>
              </a:ext>
            </a:extLst>
          </xdr:cNvPr>
          <xdr:cNvSpPr/>
        </xdr:nvSpPr>
        <xdr:spPr>
          <a:xfrm>
            <a:off x="6195060" y="213360"/>
            <a:ext cx="495300" cy="495300"/>
          </a:xfrm>
          <a:prstGeom prst="roundRect">
            <a:avLst/>
          </a:prstGeom>
          <a:solidFill>
            <a:schemeClr val="bg1"/>
          </a:solidFill>
          <a:effectLst>
            <a:outerShdw blurRad="50800" dist="38100" dir="18900000" algn="bl" rotWithShape="0">
              <a:prstClr val="black">
                <a:alpha val="1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 name="Graphic 18" descr="House with solid fill">
            <a:extLst>
              <a:ext uri="{FF2B5EF4-FFF2-40B4-BE49-F238E27FC236}">
                <a16:creationId xmlns:a16="http://schemas.microsoft.com/office/drawing/2014/main" id="{969DD3D3-C413-8536-A967-7DBD7B46DF8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6205500" y="193320"/>
            <a:ext cx="484860" cy="484860"/>
          </a:xfrm>
          <a:prstGeom prst="rect">
            <a:avLst/>
          </a:prstGeom>
        </xdr:spPr>
      </xdr:pic>
    </xdr:grpSp>
    <xdr:clientData/>
  </xdr:twoCellAnchor>
  <xdr:twoCellAnchor>
    <xdr:from>
      <xdr:col>0</xdr:col>
      <xdr:colOff>381000</xdr:colOff>
      <xdr:row>9</xdr:row>
      <xdr:rowOff>60960</xdr:rowOff>
    </xdr:from>
    <xdr:to>
      <xdr:col>9</xdr:col>
      <xdr:colOff>60960</xdr:colOff>
      <xdr:row>12</xdr:row>
      <xdr:rowOff>175260</xdr:rowOff>
    </xdr:to>
    <xdr:sp macro="" textlink="Pivots!B14">
      <xdr:nvSpPr>
        <xdr:cNvPr id="23" name="Rectangle 22">
          <a:extLst>
            <a:ext uri="{FF2B5EF4-FFF2-40B4-BE49-F238E27FC236}">
              <a16:creationId xmlns:a16="http://schemas.microsoft.com/office/drawing/2014/main" id="{372F0B0F-43CB-84FF-9261-CF2C6DF67553}"/>
            </a:ext>
          </a:extLst>
        </xdr:cNvPr>
        <xdr:cNvSpPr/>
      </xdr:nvSpPr>
      <xdr:spPr>
        <a:xfrm>
          <a:off x="381000" y="1653540"/>
          <a:ext cx="5166360" cy="66294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67085B-A772-4373-9F27-66D149521F07}" type="TxLink">
            <a:rPr lang="en-US" sz="2800" b="1" i="0" u="none" strike="noStrike">
              <a:solidFill>
                <a:schemeClr val="bg1"/>
              </a:solidFill>
              <a:latin typeface="Calibri"/>
              <a:cs typeface="Calibri"/>
            </a:rPr>
            <a:pPr algn="ctr"/>
            <a:t>All Employees</a:t>
          </a:fld>
          <a:endParaRPr lang="en-IN" sz="2800" b="1">
            <a:solidFill>
              <a:schemeClr val="bg1"/>
            </a:solidFill>
          </a:endParaRPr>
        </a:p>
      </xdr:txBody>
    </xdr:sp>
    <xdr:clientData/>
  </xdr:twoCellAnchor>
  <xdr:twoCellAnchor>
    <xdr:from>
      <xdr:col>1</xdr:col>
      <xdr:colOff>87312</xdr:colOff>
      <xdr:row>18</xdr:row>
      <xdr:rowOff>60008</xdr:rowOff>
    </xdr:from>
    <xdr:to>
      <xdr:col>3</xdr:col>
      <xdr:colOff>460374</xdr:colOff>
      <xdr:row>19</xdr:row>
      <xdr:rowOff>143828</xdr:rowOff>
    </xdr:to>
    <xdr:sp macro="" textlink="Pivots!B35">
      <xdr:nvSpPr>
        <xdr:cNvPr id="26" name="Rectangle 25">
          <a:extLst>
            <a:ext uri="{FF2B5EF4-FFF2-40B4-BE49-F238E27FC236}">
              <a16:creationId xmlns:a16="http://schemas.microsoft.com/office/drawing/2014/main" id="{BFA45709-8E9E-4774-9075-2A8B099C00DF}"/>
            </a:ext>
          </a:extLst>
        </xdr:cNvPr>
        <xdr:cNvSpPr/>
      </xdr:nvSpPr>
      <xdr:spPr>
        <a:xfrm>
          <a:off x="698500" y="3290571"/>
          <a:ext cx="1595437" cy="266382"/>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fld id="{713AE203-A289-41A0-9954-DD6E44498FBC}" type="TxLink">
            <a:rPr lang="en-US" sz="1100" b="0" i="0" u="none" strike="noStrike">
              <a:solidFill>
                <a:schemeClr val="bg1"/>
              </a:solidFill>
              <a:effectLst/>
              <a:latin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Total Monthly Salary</a:t>
          </a:fld>
          <a:endParaRPr lang="en-IN" b="0">
            <a:solidFill>
              <a:schemeClr val="bg1"/>
            </a:solidFill>
            <a:effectLst/>
          </a:endParaRPr>
        </a:p>
      </xdr:txBody>
    </xdr:sp>
    <xdr:clientData/>
  </xdr:twoCellAnchor>
  <xdr:twoCellAnchor>
    <xdr:from>
      <xdr:col>6</xdr:col>
      <xdr:colOff>350520</xdr:colOff>
      <xdr:row>20</xdr:row>
      <xdr:rowOff>0</xdr:rowOff>
    </xdr:from>
    <xdr:to>
      <xdr:col>9</xdr:col>
      <xdr:colOff>76200</xdr:colOff>
      <xdr:row>22</xdr:row>
      <xdr:rowOff>7620</xdr:rowOff>
    </xdr:to>
    <xdr:sp macro="" textlink="Pivots!T49">
      <xdr:nvSpPr>
        <xdr:cNvPr id="27" name="Rectangle 26">
          <a:extLst>
            <a:ext uri="{FF2B5EF4-FFF2-40B4-BE49-F238E27FC236}">
              <a16:creationId xmlns:a16="http://schemas.microsoft.com/office/drawing/2014/main" id="{A6AF273E-38C4-4114-982D-11281B1C81F0}"/>
            </a:ext>
          </a:extLst>
        </xdr:cNvPr>
        <xdr:cNvSpPr/>
      </xdr:nvSpPr>
      <xdr:spPr>
        <a:xfrm>
          <a:off x="4008120" y="3604260"/>
          <a:ext cx="1554480" cy="37338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D91DACC-C6A8-4C50-957B-3BB7A1DBD83D}" type="TxLink">
            <a:rPr lang="en-US" sz="1600" b="0" i="0" u="none" strike="noStrike">
              <a:solidFill>
                <a:schemeClr val="bg1"/>
              </a:solidFill>
              <a:latin typeface="Calibri"/>
              <a:cs typeface="Calibri"/>
            </a:rPr>
            <a:pPr algn="ctr"/>
            <a:t>3894</a:t>
          </a:fld>
          <a:endParaRPr lang="en-IN" sz="1600">
            <a:solidFill>
              <a:schemeClr val="bg1"/>
            </a:solidFill>
          </a:endParaRPr>
        </a:p>
      </xdr:txBody>
    </xdr:sp>
    <xdr:clientData/>
  </xdr:twoCellAnchor>
  <xdr:twoCellAnchor>
    <xdr:from>
      <xdr:col>4</xdr:col>
      <xdr:colOff>449580</xdr:colOff>
      <xdr:row>14</xdr:row>
      <xdr:rowOff>3688</xdr:rowOff>
    </xdr:from>
    <xdr:to>
      <xdr:col>7</xdr:col>
      <xdr:colOff>579120</xdr:colOff>
      <xdr:row>15</xdr:row>
      <xdr:rowOff>119462</xdr:rowOff>
    </xdr:to>
    <xdr:sp macro="" textlink="Pivots!AD47">
      <xdr:nvSpPr>
        <xdr:cNvPr id="28" name="Rectangle 27">
          <a:extLst>
            <a:ext uri="{FF2B5EF4-FFF2-40B4-BE49-F238E27FC236}">
              <a16:creationId xmlns:a16="http://schemas.microsoft.com/office/drawing/2014/main" id="{AC703B55-DA4A-4897-9DE8-2F0AE06768D9}"/>
            </a:ext>
          </a:extLst>
        </xdr:cNvPr>
        <xdr:cNvSpPr/>
      </xdr:nvSpPr>
      <xdr:spPr>
        <a:xfrm>
          <a:off x="2907645" y="2535494"/>
          <a:ext cx="1973088" cy="3001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E67C28-EF92-4B9E-B490-E62172521BB2}" type="TxLink">
            <a:rPr lang="en-US" sz="1100" b="1" i="0" u="none" strike="noStrike">
              <a:solidFill>
                <a:schemeClr val="bg1"/>
              </a:solidFill>
              <a:latin typeface="Calibri"/>
              <a:cs typeface="Calibri"/>
            </a:rPr>
            <a:pPr algn="l"/>
            <a:t>Avg.Presence 23 Days</a:t>
          </a:fld>
          <a:endParaRPr lang="en-IN" sz="1100" b="1">
            <a:solidFill>
              <a:schemeClr val="bg1"/>
            </a:solidFill>
          </a:endParaRPr>
        </a:p>
      </xdr:txBody>
    </xdr:sp>
    <xdr:clientData/>
  </xdr:twoCellAnchor>
  <xdr:twoCellAnchor>
    <xdr:from>
      <xdr:col>0</xdr:col>
      <xdr:colOff>457200</xdr:colOff>
      <xdr:row>14</xdr:row>
      <xdr:rowOff>15240</xdr:rowOff>
    </xdr:from>
    <xdr:to>
      <xdr:col>4</xdr:col>
      <xdr:colOff>335280</xdr:colOff>
      <xdr:row>17</xdr:row>
      <xdr:rowOff>7620</xdr:rowOff>
    </xdr:to>
    <xdr:sp macro="" textlink="Pivots!V10">
      <xdr:nvSpPr>
        <xdr:cNvPr id="29" name="Rectangle 28">
          <a:extLst>
            <a:ext uri="{FF2B5EF4-FFF2-40B4-BE49-F238E27FC236}">
              <a16:creationId xmlns:a16="http://schemas.microsoft.com/office/drawing/2014/main" id="{83C884C1-FAF5-4C55-AADF-8226D5E02998}"/>
            </a:ext>
          </a:extLst>
        </xdr:cNvPr>
        <xdr:cNvSpPr/>
      </xdr:nvSpPr>
      <xdr:spPr>
        <a:xfrm>
          <a:off x="457200" y="2522220"/>
          <a:ext cx="2316480" cy="54102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09C156F-FF1E-4DC9-9E78-AACB6534BBF8}" type="TxLink">
            <a:rPr lang="en-US" sz="1600" b="1" i="0" u="none" strike="noStrike">
              <a:solidFill>
                <a:schemeClr val="bg1"/>
              </a:solidFill>
              <a:latin typeface="Calibri"/>
              <a:cs typeface="Calibri"/>
            </a:rPr>
            <a:pPr algn="r"/>
            <a:t>6 Roles</a:t>
          </a:fld>
          <a:endParaRPr lang="en-IN" sz="1600" b="1">
            <a:solidFill>
              <a:schemeClr val="bg1"/>
            </a:solidFill>
          </a:endParaRPr>
        </a:p>
      </xdr:txBody>
    </xdr:sp>
    <xdr:clientData/>
  </xdr:twoCellAnchor>
  <xdr:twoCellAnchor>
    <xdr:from>
      <xdr:col>4</xdr:col>
      <xdr:colOff>449580</xdr:colOff>
      <xdr:row>15</xdr:row>
      <xdr:rowOff>95619</xdr:rowOff>
    </xdr:from>
    <xdr:to>
      <xdr:col>7</xdr:col>
      <xdr:colOff>579120</xdr:colOff>
      <xdr:row>17</xdr:row>
      <xdr:rowOff>27039</xdr:rowOff>
    </xdr:to>
    <xdr:sp macro="" textlink="Pivots!AF47">
      <xdr:nvSpPr>
        <xdr:cNvPr id="30" name="Rectangle 29">
          <a:extLst>
            <a:ext uri="{FF2B5EF4-FFF2-40B4-BE49-F238E27FC236}">
              <a16:creationId xmlns:a16="http://schemas.microsoft.com/office/drawing/2014/main" id="{0B8BA43B-C6B5-4D5C-B15A-61F1D9B31F55}"/>
            </a:ext>
          </a:extLst>
        </xdr:cNvPr>
        <xdr:cNvSpPr/>
      </xdr:nvSpPr>
      <xdr:spPr>
        <a:xfrm>
          <a:off x="2907645" y="2811780"/>
          <a:ext cx="1973088" cy="3001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CBCBF6-7475-4F94-B97D-0AED03DD4FA9}" type="TxLink">
            <a:rPr lang="en-US" sz="1100" b="1" i="0" u="none" strike="noStrike">
              <a:solidFill>
                <a:schemeClr val="bg1"/>
              </a:solidFill>
              <a:latin typeface="Calibri"/>
              <a:cs typeface="Calibri"/>
            </a:rPr>
            <a:pPr algn="l"/>
            <a:t>Avg.Absence 1 Days</a:t>
          </a:fld>
          <a:endParaRPr lang="en-IN" sz="1100" b="1">
            <a:solidFill>
              <a:schemeClr val="bg1"/>
            </a:solidFill>
          </a:endParaRPr>
        </a:p>
      </xdr:txBody>
    </xdr:sp>
    <xdr:clientData/>
  </xdr:twoCellAnchor>
  <xdr:twoCellAnchor>
    <xdr:from>
      <xdr:col>0</xdr:col>
      <xdr:colOff>396240</xdr:colOff>
      <xdr:row>18</xdr:row>
      <xdr:rowOff>30480</xdr:rowOff>
    </xdr:from>
    <xdr:to>
      <xdr:col>3</xdr:col>
      <xdr:colOff>220980</xdr:colOff>
      <xdr:row>22</xdr:row>
      <xdr:rowOff>68580</xdr:rowOff>
    </xdr:to>
    <xdr:sp macro="" textlink="">
      <xdr:nvSpPr>
        <xdr:cNvPr id="31" name="Rectangle: Rounded Corners 30">
          <a:extLst>
            <a:ext uri="{FF2B5EF4-FFF2-40B4-BE49-F238E27FC236}">
              <a16:creationId xmlns:a16="http://schemas.microsoft.com/office/drawing/2014/main" id="{915F5E3B-8456-5D87-E0C9-941B7CB68BC7}"/>
            </a:ext>
          </a:extLst>
        </xdr:cNvPr>
        <xdr:cNvSpPr/>
      </xdr:nvSpPr>
      <xdr:spPr>
        <a:xfrm>
          <a:off x="396240" y="3268980"/>
          <a:ext cx="1653540" cy="76962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18</xdr:row>
      <xdr:rowOff>22860</xdr:rowOff>
    </xdr:from>
    <xdr:to>
      <xdr:col>9</xdr:col>
      <xdr:colOff>129540</xdr:colOff>
      <xdr:row>22</xdr:row>
      <xdr:rowOff>60960</xdr:rowOff>
    </xdr:to>
    <xdr:sp macro="" textlink="">
      <xdr:nvSpPr>
        <xdr:cNvPr id="32" name="Rectangle: Rounded Corners 31">
          <a:extLst>
            <a:ext uri="{FF2B5EF4-FFF2-40B4-BE49-F238E27FC236}">
              <a16:creationId xmlns:a16="http://schemas.microsoft.com/office/drawing/2014/main" id="{C79E0933-01B2-4E89-A307-187A72810187}"/>
            </a:ext>
          </a:extLst>
        </xdr:cNvPr>
        <xdr:cNvSpPr/>
      </xdr:nvSpPr>
      <xdr:spPr>
        <a:xfrm>
          <a:off x="3962400" y="3261360"/>
          <a:ext cx="1653540" cy="76962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18</xdr:row>
      <xdr:rowOff>22860</xdr:rowOff>
    </xdr:from>
    <xdr:to>
      <xdr:col>6</xdr:col>
      <xdr:colOff>167640</xdr:colOff>
      <xdr:row>22</xdr:row>
      <xdr:rowOff>60960</xdr:rowOff>
    </xdr:to>
    <xdr:sp macro="" textlink="">
      <xdr:nvSpPr>
        <xdr:cNvPr id="33" name="Rectangle: Rounded Corners 32">
          <a:extLst>
            <a:ext uri="{FF2B5EF4-FFF2-40B4-BE49-F238E27FC236}">
              <a16:creationId xmlns:a16="http://schemas.microsoft.com/office/drawing/2014/main" id="{478C9C15-E001-4EEA-BFA9-00A589773EBB}"/>
            </a:ext>
          </a:extLst>
        </xdr:cNvPr>
        <xdr:cNvSpPr/>
      </xdr:nvSpPr>
      <xdr:spPr>
        <a:xfrm>
          <a:off x="2171700" y="3261360"/>
          <a:ext cx="1653540" cy="76962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441960</xdr:colOff>
      <xdr:row>20</xdr:row>
      <xdr:rowOff>7620</xdr:rowOff>
    </xdr:from>
    <xdr:to>
      <xdr:col>3</xdr:col>
      <xdr:colOff>167640</xdr:colOff>
      <xdr:row>22</xdr:row>
      <xdr:rowOff>15240</xdr:rowOff>
    </xdr:to>
    <xdr:sp macro="" textlink="Pivots!Q49">
      <xdr:nvSpPr>
        <xdr:cNvPr id="34" name="Rectangle 33">
          <a:extLst>
            <a:ext uri="{FF2B5EF4-FFF2-40B4-BE49-F238E27FC236}">
              <a16:creationId xmlns:a16="http://schemas.microsoft.com/office/drawing/2014/main" id="{AB392147-FD2E-4F05-B5E1-28A46D4DB64D}"/>
            </a:ext>
          </a:extLst>
        </xdr:cNvPr>
        <xdr:cNvSpPr/>
      </xdr:nvSpPr>
      <xdr:spPr>
        <a:xfrm>
          <a:off x="441960" y="3611880"/>
          <a:ext cx="1554480" cy="37338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DD8801E-2095-4A60-A2C2-D066932167F9}" type="TxLink">
            <a:rPr lang="en-US" sz="1600" b="0" i="0" u="none" strike="noStrike">
              <a:solidFill>
                <a:schemeClr val="bg1"/>
              </a:solidFill>
              <a:latin typeface="Calibri"/>
              <a:cs typeface="Calibri"/>
            </a:rPr>
            <a:pPr algn="ctr"/>
            <a:t>₹ 4,24,000.00</a:t>
          </a:fld>
          <a:endParaRPr lang="en-IN" sz="1600">
            <a:solidFill>
              <a:schemeClr val="bg1"/>
            </a:solidFill>
          </a:endParaRPr>
        </a:p>
      </xdr:txBody>
    </xdr:sp>
    <xdr:clientData/>
  </xdr:twoCellAnchor>
  <xdr:twoCellAnchor>
    <xdr:from>
      <xdr:col>3</xdr:col>
      <xdr:colOff>396240</xdr:colOff>
      <xdr:row>19</xdr:row>
      <xdr:rowOff>175260</xdr:rowOff>
    </xdr:from>
    <xdr:to>
      <xdr:col>6</xdr:col>
      <xdr:colOff>121920</xdr:colOff>
      <xdr:row>22</xdr:row>
      <xdr:rowOff>0</xdr:rowOff>
    </xdr:to>
    <xdr:sp macro="" textlink="Pivots!S49">
      <xdr:nvSpPr>
        <xdr:cNvPr id="35" name="Rectangle 34">
          <a:extLst>
            <a:ext uri="{FF2B5EF4-FFF2-40B4-BE49-F238E27FC236}">
              <a16:creationId xmlns:a16="http://schemas.microsoft.com/office/drawing/2014/main" id="{2EF19D28-EB8E-4087-8501-0BDB6628B3BF}"/>
            </a:ext>
          </a:extLst>
        </xdr:cNvPr>
        <xdr:cNvSpPr/>
      </xdr:nvSpPr>
      <xdr:spPr>
        <a:xfrm>
          <a:off x="2225040" y="3596640"/>
          <a:ext cx="1554480" cy="37338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54B1F04-B630-4C7F-AF3E-0E57EFE26142}" type="TxLink">
            <a:rPr lang="en-US" sz="1600" b="0" i="0" u="none" strike="noStrike">
              <a:solidFill>
                <a:schemeClr val="bg1"/>
              </a:solidFill>
              <a:latin typeface="Calibri"/>
              <a:cs typeface="Calibri"/>
            </a:rPr>
            <a:pPr algn="ctr"/>
            <a:t>₹ 15,142.86</a:t>
          </a:fld>
          <a:endParaRPr lang="en-IN" sz="1600">
            <a:solidFill>
              <a:schemeClr val="bg1"/>
            </a:solidFill>
          </a:endParaRPr>
        </a:p>
      </xdr:txBody>
    </xdr:sp>
    <xdr:clientData/>
  </xdr:twoCellAnchor>
  <xdr:twoCellAnchor>
    <xdr:from>
      <xdr:col>4</xdr:col>
      <xdr:colOff>198120</xdr:colOff>
      <xdr:row>18</xdr:row>
      <xdr:rowOff>68580</xdr:rowOff>
    </xdr:from>
    <xdr:to>
      <xdr:col>6</xdr:col>
      <xdr:colOff>99060</xdr:colOff>
      <xdr:row>19</xdr:row>
      <xdr:rowOff>152400</xdr:rowOff>
    </xdr:to>
    <xdr:sp macro="" textlink="">
      <xdr:nvSpPr>
        <xdr:cNvPr id="36" name="Rectangle 35">
          <a:extLst>
            <a:ext uri="{FF2B5EF4-FFF2-40B4-BE49-F238E27FC236}">
              <a16:creationId xmlns:a16="http://schemas.microsoft.com/office/drawing/2014/main" id="{7B081AE7-D102-4A63-996E-EADDBF4C696C}"/>
            </a:ext>
          </a:extLst>
        </xdr:cNvPr>
        <xdr:cNvSpPr/>
      </xdr:nvSpPr>
      <xdr:spPr>
        <a:xfrm>
          <a:off x="2636520" y="3307080"/>
          <a:ext cx="1120140" cy="26670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Per</a:t>
          </a:r>
          <a:r>
            <a:rPr lang="en-IN" sz="1100" baseline="0">
              <a:solidFill>
                <a:schemeClr val="lt1"/>
              </a:solidFill>
              <a:effectLst/>
              <a:latin typeface="+mn-lt"/>
              <a:ea typeface="+mn-ea"/>
              <a:cs typeface="+mn-cs"/>
            </a:rPr>
            <a:t> Day Salary</a:t>
          </a:r>
        </a:p>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xdr:txBody>
    </xdr:sp>
    <xdr:clientData/>
  </xdr:twoCellAnchor>
  <xdr:twoCellAnchor>
    <xdr:from>
      <xdr:col>7</xdr:col>
      <xdr:colOff>167640</xdr:colOff>
      <xdr:row>18</xdr:row>
      <xdr:rowOff>60960</xdr:rowOff>
    </xdr:from>
    <xdr:to>
      <xdr:col>9</xdr:col>
      <xdr:colOff>68580</xdr:colOff>
      <xdr:row>19</xdr:row>
      <xdr:rowOff>144780</xdr:rowOff>
    </xdr:to>
    <xdr:sp macro="" textlink="">
      <xdr:nvSpPr>
        <xdr:cNvPr id="37" name="Rectangle 36">
          <a:extLst>
            <a:ext uri="{FF2B5EF4-FFF2-40B4-BE49-F238E27FC236}">
              <a16:creationId xmlns:a16="http://schemas.microsoft.com/office/drawing/2014/main" id="{4CA075F2-0F3B-4665-95DA-5674D686B1F1}"/>
            </a:ext>
          </a:extLst>
        </xdr:cNvPr>
        <xdr:cNvSpPr/>
      </xdr:nvSpPr>
      <xdr:spPr>
        <a:xfrm>
          <a:off x="4434840" y="3299460"/>
          <a:ext cx="1120140" cy="26670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Payable</a:t>
          </a:r>
          <a:r>
            <a:rPr lang="en-IN" sz="1100" baseline="0">
              <a:solidFill>
                <a:schemeClr val="lt1"/>
              </a:solidFill>
              <a:effectLst/>
              <a:latin typeface="+mn-lt"/>
              <a:ea typeface="+mn-ea"/>
              <a:cs typeface="+mn-cs"/>
            </a:rPr>
            <a:t> Days</a:t>
          </a:r>
          <a:endParaRPr lang="en-IN">
            <a:effectLst/>
          </a:endParaRPr>
        </a:p>
      </xdr:txBody>
    </xdr:sp>
    <xdr:clientData/>
  </xdr:twoCellAnchor>
  <xdr:twoCellAnchor editAs="oneCell">
    <xdr:from>
      <xdr:col>3</xdr:col>
      <xdr:colOff>419100</xdr:colOff>
      <xdr:row>18</xdr:row>
      <xdr:rowOff>0</xdr:rowOff>
    </xdr:from>
    <xdr:to>
      <xdr:col>4</xdr:col>
      <xdr:colOff>157200</xdr:colOff>
      <xdr:row>19</xdr:row>
      <xdr:rowOff>164820</xdr:rowOff>
    </xdr:to>
    <xdr:pic>
      <xdr:nvPicPr>
        <xdr:cNvPr id="39" name="Graphic 38" descr="Money with solid fill">
          <a:extLst>
            <a:ext uri="{FF2B5EF4-FFF2-40B4-BE49-F238E27FC236}">
              <a16:creationId xmlns:a16="http://schemas.microsoft.com/office/drawing/2014/main" id="{6B44F257-BC74-DBF5-E816-18F189E3601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47900" y="3238500"/>
          <a:ext cx="347700" cy="347700"/>
        </a:xfrm>
        <a:prstGeom prst="rect">
          <a:avLst/>
        </a:prstGeom>
      </xdr:spPr>
    </xdr:pic>
    <xdr:clientData/>
  </xdr:twoCellAnchor>
  <xdr:twoCellAnchor editAs="oneCell">
    <xdr:from>
      <xdr:col>0</xdr:col>
      <xdr:colOff>447180</xdr:colOff>
      <xdr:row>18</xdr:row>
      <xdr:rowOff>28080</xdr:rowOff>
    </xdr:from>
    <xdr:to>
      <xdr:col>1</xdr:col>
      <xdr:colOff>185280</xdr:colOff>
      <xdr:row>20</xdr:row>
      <xdr:rowOff>10020</xdr:rowOff>
    </xdr:to>
    <xdr:pic>
      <xdr:nvPicPr>
        <xdr:cNvPr id="41" name="Graphic 40" descr="Coins with solid fill">
          <a:extLst>
            <a:ext uri="{FF2B5EF4-FFF2-40B4-BE49-F238E27FC236}">
              <a16:creationId xmlns:a16="http://schemas.microsoft.com/office/drawing/2014/main" id="{473A416E-5149-D71E-1298-8D08F4FB598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47180" y="3266580"/>
          <a:ext cx="347700" cy="347700"/>
        </a:xfrm>
        <a:prstGeom prst="rect">
          <a:avLst/>
        </a:prstGeom>
      </xdr:spPr>
    </xdr:pic>
    <xdr:clientData/>
  </xdr:twoCellAnchor>
  <xdr:twoCellAnchor editAs="oneCell">
    <xdr:from>
      <xdr:col>6</xdr:col>
      <xdr:colOff>345720</xdr:colOff>
      <xdr:row>18</xdr:row>
      <xdr:rowOff>10440</xdr:rowOff>
    </xdr:from>
    <xdr:to>
      <xdr:col>7</xdr:col>
      <xdr:colOff>83820</xdr:colOff>
      <xdr:row>19</xdr:row>
      <xdr:rowOff>175260</xdr:rowOff>
    </xdr:to>
    <xdr:pic>
      <xdr:nvPicPr>
        <xdr:cNvPr id="43" name="Graphic 42" descr="Daily calendar with solid fill">
          <a:extLst>
            <a:ext uri="{FF2B5EF4-FFF2-40B4-BE49-F238E27FC236}">
              <a16:creationId xmlns:a16="http://schemas.microsoft.com/office/drawing/2014/main" id="{92631663-DACD-3503-FF05-17784032E05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003320" y="3248940"/>
          <a:ext cx="347700" cy="347700"/>
        </a:xfrm>
        <a:prstGeom prst="rect">
          <a:avLst/>
        </a:prstGeom>
      </xdr:spPr>
    </xdr:pic>
    <xdr:clientData/>
  </xdr:twoCellAnchor>
  <xdr:twoCellAnchor editAs="oneCell">
    <xdr:from>
      <xdr:col>0</xdr:col>
      <xdr:colOff>233517</xdr:colOff>
      <xdr:row>24</xdr:row>
      <xdr:rowOff>149720</xdr:rowOff>
    </xdr:from>
    <xdr:to>
      <xdr:col>5</xdr:col>
      <xdr:colOff>606482</xdr:colOff>
      <xdr:row>31</xdr:row>
      <xdr:rowOff>79375</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E9557EA4-AC1E-4BD0-B115-BBD6A32D7C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3517" y="4475658"/>
              <a:ext cx="3428903" cy="1207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277960</xdr:colOff>
      <xdr:row>0</xdr:row>
      <xdr:rowOff>108856</xdr:rowOff>
    </xdr:from>
    <xdr:to>
      <xdr:col>23</xdr:col>
      <xdr:colOff>253779</xdr:colOff>
      <xdr:row>6</xdr:row>
      <xdr:rowOff>171061</xdr:rowOff>
    </xdr:to>
    <mc:AlternateContent xmlns:mc="http://schemas.openxmlformats.org/markup-compatibility/2006" xmlns:a14="http://schemas.microsoft.com/office/drawing/2010/main">
      <mc:Choice Requires="a14">
        <xdr:graphicFrame macro="">
          <xdr:nvGraphicFramePr>
            <xdr:cNvPr id="16" name="Emp ID">
              <a:extLst>
                <a:ext uri="{FF2B5EF4-FFF2-40B4-BE49-F238E27FC236}">
                  <a16:creationId xmlns:a16="http://schemas.microsoft.com/office/drawing/2014/main" id="{62D4D1F9-CDB6-47B3-AB59-60FFDD56AB24}"/>
                </a:ext>
              </a:extLst>
            </xdr:cNvPr>
            <xdr:cNvGraphicFramePr/>
          </xdr:nvGraphicFramePr>
          <xdr:xfrm>
            <a:off x="0" y="0"/>
            <a:ext cx="0" cy="0"/>
          </xdr:xfrm>
          <a:graphic>
            <a:graphicData uri="http://schemas.microsoft.com/office/drawing/2010/slicer">
              <sle:slicer xmlns:sle="http://schemas.microsoft.com/office/drawing/2010/slicer" name="Emp ID"/>
            </a:graphicData>
          </a:graphic>
        </xdr:graphicFrame>
      </mc:Choice>
      <mc:Fallback xmlns="">
        <xdr:sp macro="" textlink="">
          <xdr:nvSpPr>
            <xdr:cNvPr id="0" name=""/>
            <xdr:cNvSpPr>
              <a:spLocks noTextEdit="1"/>
            </xdr:cNvSpPr>
          </xdr:nvSpPr>
          <xdr:spPr>
            <a:xfrm>
              <a:off x="9981797" y="108856"/>
              <a:ext cx="4221247" cy="112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327660</xdr:colOff>
      <xdr:row>14</xdr:row>
      <xdr:rowOff>38100</xdr:rowOff>
    </xdr:from>
    <xdr:to>
      <xdr:col>4</xdr:col>
      <xdr:colOff>327660</xdr:colOff>
      <xdr:row>17</xdr:row>
      <xdr:rowOff>22860</xdr:rowOff>
    </xdr:to>
    <xdr:cxnSp macro="">
      <xdr:nvCxnSpPr>
        <xdr:cNvPr id="24" name="Straight Connector 23">
          <a:extLst>
            <a:ext uri="{FF2B5EF4-FFF2-40B4-BE49-F238E27FC236}">
              <a16:creationId xmlns:a16="http://schemas.microsoft.com/office/drawing/2014/main" id="{0263FCA1-5F8A-AB11-F3FF-3AAAEEAD3E40}"/>
            </a:ext>
          </a:extLst>
        </xdr:cNvPr>
        <xdr:cNvCxnSpPr/>
      </xdr:nvCxnSpPr>
      <xdr:spPr>
        <a:xfrm>
          <a:off x="2766060" y="2545080"/>
          <a:ext cx="0" cy="53340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427355</xdr:colOff>
      <xdr:row>24</xdr:row>
      <xdr:rowOff>123630</xdr:rowOff>
    </xdr:from>
    <xdr:to>
      <xdr:col>23</xdr:col>
      <xdr:colOff>62445</xdr:colOff>
      <xdr:row>36</xdr:row>
      <xdr:rowOff>142876</xdr:rowOff>
    </xdr:to>
    <mc:AlternateContent xmlns:mc="http://schemas.openxmlformats.org/markup-compatibility/2006">
      <mc:Choice xmlns:cx2="http://schemas.microsoft.com/office/drawing/2015/10/21/chartex" Requires="cx2">
        <xdr:graphicFrame macro="">
          <xdr:nvGraphicFramePr>
            <xdr:cNvPr id="38" name="Chart 4">
              <a:extLst>
                <a:ext uri="{FF2B5EF4-FFF2-40B4-BE49-F238E27FC236}">
                  <a16:creationId xmlns:a16="http://schemas.microsoft.com/office/drawing/2014/main" id="{EB053161-A2CD-E718-9AE1-D60DC324C6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180955" y="4459410"/>
              <a:ext cx="3902290" cy="22138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300163</xdr:colOff>
      <xdr:row>8</xdr:row>
      <xdr:rowOff>91355</xdr:rowOff>
    </xdr:from>
    <xdr:to>
      <xdr:col>23</xdr:col>
      <xdr:colOff>172348</xdr:colOff>
      <xdr:row>22</xdr:row>
      <xdr:rowOff>164310</xdr:rowOff>
    </xdr:to>
    <xdr:graphicFrame macro="">
      <xdr:nvGraphicFramePr>
        <xdr:cNvPr id="42" name="Chart 6">
          <a:extLst>
            <a:ext uri="{FF2B5EF4-FFF2-40B4-BE49-F238E27FC236}">
              <a16:creationId xmlns:a16="http://schemas.microsoft.com/office/drawing/2014/main" id="{5D5878DF-8334-93C0-3E72-BE56A9A0B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46653</xdr:colOff>
      <xdr:row>7</xdr:row>
      <xdr:rowOff>155510</xdr:rowOff>
    </xdr:from>
    <xdr:to>
      <xdr:col>16</xdr:col>
      <xdr:colOff>186611</xdr:colOff>
      <xdr:row>22</xdr:row>
      <xdr:rowOff>93306</xdr:rowOff>
    </xdr:to>
    <xdr:graphicFrame macro="">
      <xdr:nvGraphicFramePr>
        <xdr:cNvPr id="45" name="Chart 8">
          <a:extLst>
            <a:ext uri="{FF2B5EF4-FFF2-40B4-BE49-F238E27FC236}">
              <a16:creationId xmlns:a16="http://schemas.microsoft.com/office/drawing/2014/main" id="{2278231A-7523-1A09-ECBE-BCE619D2C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365449</xdr:colOff>
      <xdr:row>18</xdr:row>
      <xdr:rowOff>31102</xdr:rowOff>
    </xdr:from>
    <xdr:to>
      <xdr:col>9</xdr:col>
      <xdr:colOff>365449</xdr:colOff>
      <xdr:row>22</xdr:row>
      <xdr:rowOff>155510</xdr:rowOff>
    </xdr:to>
    <xdr:cxnSp macro="">
      <xdr:nvCxnSpPr>
        <xdr:cNvPr id="46" name="Straight Connector 45">
          <a:extLst>
            <a:ext uri="{FF2B5EF4-FFF2-40B4-BE49-F238E27FC236}">
              <a16:creationId xmlns:a16="http://schemas.microsoft.com/office/drawing/2014/main" id="{6BE557D1-3240-1652-CAFC-E6C674189E68}"/>
            </a:ext>
          </a:extLst>
        </xdr:cNvPr>
        <xdr:cNvCxnSpPr/>
      </xdr:nvCxnSpPr>
      <xdr:spPr>
        <a:xfrm>
          <a:off x="5823857" y="3335694"/>
          <a:ext cx="0" cy="870857"/>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510676</xdr:colOff>
      <xdr:row>0</xdr:row>
      <xdr:rowOff>98323</xdr:rowOff>
    </xdr:from>
    <xdr:to>
      <xdr:col>15</xdr:col>
      <xdr:colOff>230758</xdr:colOff>
      <xdr:row>2</xdr:row>
      <xdr:rowOff>135194</xdr:rowOff>
    </xdr:to>
    <xdr:sp macro="" textlink="">
      <xdr:nvSpPr>
        <xdr:cNvPr id="18" name="TextBox 17">
          <a:extLst>
            <a:ext uri="{FF2B5EF4-FFF2-40B4-BE49-F238E27FC236}">
              <a16:creationId xmlns:a16="http://schemas.microsoft.com/office/drawing/2014/main" id="{C05AF128-4922-6A21-7502-539852E27EA0}"/>
            </a:ext>
          </a:extLst>
        </xdr:cNvPr>
        <xdr:cNvSpPr txBox="1"/>
      </xdr:nvSpPr>
      <xdr:spPr>
        <a:xfrm>
          <a:off x="7884870" y="98323"/>
          <a:ext cx="1563630" cy="356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Employee of the Year</a:t>
          </a:r>
        </a:p>
        <a:p>
          <a:endParaRPr lang="en-IN" sz="1200" b="1"/>
        </a:p>
      </xdr:txBody>
    </xdr:sp>
    <xdr:clientData/>
  </xdr:twoCellAnchor>
  <xdr:twoCellAnchor>
    <xdr:from>
      <xdr:col>12</xdr:col>
      <xdr:colOff>531377</xdr:colOff>
      <xdr:row>2</xdr:row>
      <xdr:rowOff>62050</xdr:rowOff>
    </xdr:from>
    <xdr:to>
      <xdr:col>15</xdr:col>
      <xdr:colOff>251459</xdr:colOff>
      <xdr:row>3</xdr:row>
      <xdr:rowOff>125964</xdr:rowOff>
    </xdr:to>
    <xdr:sp macro="" textlink="Pivots!AN6">
      <xdr:nvSpPr>
        <xdr:cNvPr id="21" name="TextBox 20">
          <a:extLst>
            <a:ext uri="{FF2B5EF4-FFF2-40B4-BE49-F238E27FC236}">
              <a16:creationId xmlns:a16="http://schemas.microsoft.com/office/drawing/2014/main" id="{6E7E52DE-22EC-41E2-8C6E-1D2EBFACD316}"/>
            </a:ext>
          </a:extLst>
        </xdr:cNvPr>
        <xdr:cNvSpPr txBox="1"/>
      </xdr:nvSpPr>
      <xdr:spPr>
        <a:xfrm>
          <a:off x="7809255" y="380846"/>
          <a:ext cx="1539551" cy="25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739E23B-B103-472D-8D3C-A9C25E9853BA}" type="TxLink">
            <a:rPr lang="en-US" sz="1100" b="0" i="0" u="none" strike="noStrike">
              <a:solidFill>
                <a:srgbClr val="000000"/>
              </a:solidFill>
              <a:latin typeface="Calibri"/>
              <a:cs typeface="Calibri"/>
            </a:rPr>
            <a:pPr algn="l"/>
            <a:t>Emp004</a:t>
          </a:fld>
          <a:endParaRPr lang="en-IN" sz="1200"/>
        </a:p>
      </xdr:txBody>
    </xdr:sp>
    <xdr:clientData/>
  </xdr:twoCellAnchor>
  <xdr:twoCellAnchor>
    <xdr:from>
      <xdr:col>12</xdr:col>
      <xdr:colOff>512717</xdr:colOff>
      <xdr:row>3</xdr:row>
      <xdr:rowOff>97817</xdr:rowOff>
    </xdr:from>
    <xdr:to>
      <xdr:col>15</xdr:col>
      <xdr:colOff>232799</xdr:colOff>
      <xdr:row>4</xdr:row>
      <xdr:rowOff>161731</xdr:rowOff>
    </xdr:to>
    <xdr:sp macro="" textlink="Pivots!AN5">
      <xdr:nvSpPr>
        <xdr:cNvPr id="25" name="TextBox 24">
          <a:extLst>
            <a:ext uri="{FF2B5EF4-FFF2-40B4-BE49-F238E27FC236}">
              <a16:creationId xmlns:a16="http://schemas.microsoft.com/office/drawing/2014/main" id="{3FD8BFA8-BDE1-415A-929B-E88017DEC50C}"/>
            </a:ext>
          </a:extLst>
        </xdr:cNvPr>
        <xdr:cNvSpPr txBox="1"/>
      </xdr:nvSpPr>
      <xdr:spPr>
        <a:xfrm>
          <a:off x="7790595" y="603225"/>
          <a:ext cx="1539551" cy="25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238BA19-D8C8-4F53-9869-681A23141E82}" type="TxLink">
            <a:rPr lang="en-US" sz="1100" b="0" i="0" u="none" strike="noStrike">
              <a:solidFill>
                <a:srgbClr val="000000"/>
              </a:solidFill>
              <a:latin typeface="Calibri"/>
              <a:cs typeface="Calibri"/>
            </a:rPr>
            <a:pPr algn="l"/>
            <a:t>Attendence:98.6%</a:t>
          </a:fld>
          <a:endParaRPr lang="en-IN" sz="1200"/>
        </a:p>
      </xdr:txBody>
    </xdr:sp>
    <xdr:clientData/>
  </xdr:twoCellAnchor>
  <xdr:twoCellAnchor>
    <xdr:from>
      <xdr:col>12</xdr:col>
      <xdr:colOff>517382</xdr:colOff>
      <xdr:row>4</xdr:row>
      <xdr:rowOff>156912</xdr:rowOff>
    </xdr:from>
    <xdr:to>
      <xdr:col>15</xdr:col>
      <xdr:colOff>237464</xdr:colOff>
      <xdr:row>6</xdr:row>
      <xdr:rowOff>34213</xdr:rowOff>
    </xdr:to>
    <xdr:sp macro="" textlink="Pivots!AN7">
      <xdr:nvSpPr>
        <xdr:cNvPr id="40" name="TextBox 39">
          <a:extLst>
            <a:ext uri="{FF2B5EF4-FFF2-40B4-BE49-F238E27FC236}">
              <a16:creationId xmlns:a16="http://schemas.microsoft.com/office/drawing/2014/main" id="{54153299-903F-4CE6-A60B-1F597A3BEB55}"/>
            </a:ext>
          </a:extLst>
        </xdr:cNvPr>
        <xdr:cNvSpPr txBox="1"/>
      </xdr:nvSpPr>
      <xdr:spPr>
        <a:xfrm>
          <a:off x="7795260" y="848932"/>
          <a:ext cx="1539551" cy="25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E51F14F-4411-4DE4-BAB9-81B93D469B1B}" type="TxLink">
            <a:rPr lang="en-US" sz="1100" b="0" i="0" u="none" strike="noStrike">
              <a:solidFill>
                <a:srgbClr val="000000"/>
              </a:solidFill>
              <a:latin typeface="Calibri"/>
              <a:cs typeface="Calibri"/>
            </a:rPr>
            <a:pPr algn="l"/>
            <a:t>Presence:281</a:t>
          </a:fld>
          <a:endParaRPr lang="en-IN" sz="1200"/>
        </a:p>
      </xdr:txBody>
    </xdr:sp>
    <xdr:clientData/>
  </xdr:twoCellAnchor>
  <xdr:twoCellAnchor>
    <xdr:from>
      <xdr:col>12</xdr:col>
      <xdr:colOff>529822</xdr:colOff>
      <xdr:row>6</xdr:row>
      <xdr:rowOff>37168</xdr:rowOff>
    </xdr:from>
    <xdr:to>
      <xdr:col>15</xdr:col>
      <xdr:colOff>249904</xdr:colOff>
      <xdr:row>7</xdr:row>
      <xdr:rowOff>101082</xdr:rowOff>
    </xdr:to>
    <xdr:sp macro="" textlink="Pivots!AN8">
      <xdr:nvSpPr>
        <xdr:cNvPr id="48" name="TextBox 47">
          <a:extLst>
            <a:ext uri="{FF2B5EF4-FFF2-40B4-BE49-F238E27FC236}">
              <a16:creationId xmlns:a16="http://schemas.microsoft.com/office/drawing/2014/main" id="{559E550B-943C-4F7D-8AB0-260D823C66BC}"/>
            </a:ext>
          </a:extLst>
        </xdr:cNvPr>
        <xdr:cNvSpPr txBox="1"/>
      </xdr:nvSpPr>
      <xdr:spPr>
        <a:xfrm>
          <a:off x="7807700" y="1102413"/>
          <a:ext cx="1539551" cy="25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0AFD85A-188B-4785-86F0-26FE2E377F33}" type="TxLink">
            <a:rPr lang="en-US" sz="1100" b="0" i="0" u="none" strike="noStrike">
              <a:solidFill>
                <a:srgbClr val="000000"/>
              </a:solidFill>
              <a:latin typeface="Calibri"/>
              <a:cs typeface="Calibri"/>
            </a:rPr>
            <a:pPr algn="l"/>
            <a:t>Absence5</a:t>
          </a:fld>
          <a:endParaRPr lang="en-IN" sz="1200"/>
        </a:p>
      </xdr:txBody>
    </xdr:sp>
    <xdr:clientData/>
  </xdr:twoCellAnchor>
  <xdr:twoCellAnchor>
    <xdr:from>
      <xdr:col>11</xdr:col>
      <xdr:colOff>513346</xdr:colOff>
      <xdr:row>11</xdr:row>
      <xdr:rowOff>142713</xdr:rowOff>
    </xdr:from>
    <xdr:to>
      <xdr:col>14</xdr:col>
      <xdr:colOff>15714</xdr:colOff>
      <xdr:row>15</xdr:row>
      <xdr:rowOff>166039</xdr:rowOff>
    </xdr:to>
    <xdr:sp macro="" textlink="Pivots!G47">
      <xdr:nvSpPr>
        <xdr:cNvPr id="49" name="TextBox 48">
          <a:extLst>
            <a:ext uri="{FF2B5EF4-FFF2-40B4-BE49-F238E27FC236}">
              <a16:creationId xmlns:a16="http://schemas.microsoft.com/office/drawing/2014/main" id="{9F75EB12-83B5-6D9E-B42A-5960BAD2886A}"/>
            </a:ext>
          </a:extLst>
        </xdr:cNvPr>
        <xdr:cNvSpPr txBox="1"/>
      </xdr:nvSpPr>
      <xdr:spPr>
        <a:xfrm>
          <a:off x="7236409" y="2095338"/>
          <a:ext cx="1335930" cy="75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397CD0-E3AD-49F1-B0B9-EED38387E384}" type="TxLink">
            <a:rPr lang="en-US" sz="4000" b="1" i="0" u="none" strike="noStrike">
              <a:solidFill>
                <a:srgbClr val="FFFF00"/>
              </a:solidFill>
              <a:latin typeface="Calibri"/>
              <a:cs typeface="Calibri"/>
            </a:rPr>
            <a:pPr/>
            <a:t>97%</a:t>
          </a:fld>
          <a:endParaRPr lang="en-IN" sz="4000" b="1">
            <a:solidFill>
              <a:srgbClr val="FFFF00"/>
            </a:solidFill>
          </a:endParaRPr>
        </a:p>
      </xdr:txBody>
    </xdr:sp>
    <xdr:clientData/>
  </xdr:twoCellAnchor>
  <xdr:twoCellAnchor>
    <xdr:from>
      <xdr:col>11</xdr:col>
      <xdr:colOff>362339</xdr:colOff>
      <xdr:row>15</xdr:row>
      <xdr:rowOff>3531</xdr:rowOff>
    </xdr:from>
    <xdr:to>
      <xdr:col>13</xdr:col>
      <xdr:colOff>583164</xdr:colOff>
      <xdr:row>16</xdr:row>
      <xdr:rowOff>53295</xdr:rowOff>
    </xdr:to>
    <xdr:sp macro="" textlink="">
      <xdr:nvSpPr>
        <xdr:cNvPr id="51" name="TextBox 50">
          <a:extLst>
            <a:ext uri="{FF2B5EF4-FFF2-40B4-BE49-F238E27FC236}">
              <a16:creationId xmlns:a16="http://schemas.microsoft.com/office/drawing/2014/main" id="{4C65E94A-8BC1-4843-8972-84D9D7B9017B}"/>
            </a:ext>
          </a:extLst>
        </xdr:cNvPr>
        <xdr:cNvSpPr txBox="1"/>
      </xdr:nvSpPr>
      <xdr:spPr>
        <a:xfrm>
          <a:off x="7085402" y="2686406"/>
          <a:ext cx="1443200" cy="23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Overall Attendance</a:t>
          </a:r>
        </a:p>
      </xdr:txBody>
    </xdr:sp>
    <xdr:clientData/>
  </xdr:twoCellAnchor>
  <xdr:twoCellAnchor>
    <xdr:from>
      <xdr:col>9</xdr:col>
      <xdr:colOff>598012</xdr:colOff>
      <xdr:row>20</xdr:row>
      <xdr:rowOff>9331</xdr:rowOff>
    </xdr:from>
    <xdr:to>
      <xdr:col>12</xdr:col>
      <xdr:colOff>331839</xdr:colOff>
      <xdr:row>21</xdr:row>
      <xdr:rowOff>101081</xdr:rowOff>
    </xdr:to>
    <xdr:sp macro="" textlink="Pivots!D29">
      <xdr:nvSpPr>
        <xdr:cNvPr id="52" name="TextBox 51">
          <a:extLst>
            <a:ext uri="{FF2B5EF4-FFF2-40B4-BE49-F238E27FC236}">
              <a16:creationId xmlns:a16="http://schemas.microsoft.com/office/drawing/2014/main" id="{66EBA55D-EF6C-42E3-94BB-CE347AA8444F}"/>
            </a:ext>
          </a:extLst>
        </xdr:cNvPr>
        <xdr:cNvSpPr txBox="1"/>
      </xdr:nvSpPr>
      <xdr:spPr>
        <a:xfrm>
          <a:off x="6128657" y="3647266"/>
          <a:ext cx="1577376" cy="276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0106CA-1E26-4198-93AE-E168F742F34F}" type="TxLink">
            <a:rPr lang="en-US" sz="1100" b="1" i="0" u="none" strike="noStrike">
              <a:solidFill>
                <a:schemeClr val="bg1"/>
              </a:solidFill>
              <a:latin typeface="Calibri"/>
              <a:cs typeface="Calibri"/>
            </a:rPr>
            <a:pPr/>
            <a:t>Avg. Absence:11 Days</a:t>
          </a:fld>
          <a:endParaRPr lang="en-IN" sz="1100" b="1">
            <a:solidFill>
              <a:schemeClr val="bg1"/>
            </a:solidFill>
          </a:endParaRPr>
        </a:p>
      </xdr:txBody>
    </xdr:sp>
    <xdr:clientData/>
  </xdr:twoCellAnchor>
  <xdr:twoCellAnchor>
    <xdr:from>
      <xdr:col>9</xdr:col>
      <xdr:colOff>597159</xdr:colOff>
      <xdr:row>18</xdr:row>
      <xdr:rowOff>69984</xdr:rowOff>
    </xdr:from>
    <xdr:to>
      <xdr:col>12</xdr:col>
      <xdr:colOff>373224</xdr:colOff>
      <xdr:row>19</xdr:row>
      <xdr:rowOff>155515</xdr:rowOff>
    </xdr:to>
    <xdr:sp macro="" textlink="Pivots!B29">
      <xdr:nvSpPr>
        <xdr:cNvPr id="53" name="TextBox 52">
          <a:extLst>
            <a:ext uri="{FF2B5EF4-FFF2-40B4-BE49-F238E27FC236}">
              <a16:creationId xmlns:a16="http://schemas.microsoft.com/office/drawing/2014/main" id="{A047FF3C-D9FE-4470-A5A0-C631B8B07725}"/>
            </a:ext>
          </a:extLst>
        </xdr:cNvPr>
        <xdr:cNvSpPr txBox="1"/>
      </xdr:nvSpPr>
      <xdr:spPr>
        <a:xfrm>
          <a:off x="6055567" y="3374576"/>
          <a:ext cx="1595535"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E0D2B3-B998-41A7-B35A-CBB3BEACEDCC}" type="TxLink">
            <a:rPr lang="en-US" sz="1100" b="1" i="0" u="none" strike="noStrike">
              <a:solidFill>
                <a:schemeClr val="bg1"/>
              </a:solidFill>
              <a:latin typeface="Calibri"/>
              <a:cs typeface="Calibri"/>
            </a:rPr>
            <a:pPr/>
            <a:t>Avg. Presence:275 Days</a:t>
          </a:fld>
          <a:endParaRPr lang="en-IN" sz="1100" b="1">
            <a:solidFill>
              <a:schemeClr val="bg1"/>
            </a:solidFill>
          </a:endParaRPr>
        </a:p>
      </xdr:txBody>
    </xdr:sp>
    <xdr:clientData/>
  </xdr:twoCellAnchor>
  <xdr:twoCellAnchor>
    <xdr:from>
      <xdr:col>12</xdr:col>
      <xdr:colOff>531846</xdr:colOff>
      <xdr:row>18</xdr:row>
      <xdr:rowOff>69979</xdr:rowOff>
    </xdr:from>
    <xdr:to>
      <xdr:col>14</xdr:col>
      <xdr:colOff>567613</xdr:colOff>
      <xdr:row>19</xdr:row>
      <xdr:rowOff>171061</xdr:rowOff>
    </xdr:to>
    <xdr:sp macro="" textlink="Pivots!F29">
      <xdr:nvSpPr>
        <xdr:cNvPr id="54" name="TextBox 53">
          <a:extLst>
            <a:ext uri="{FF2B5EF4-FFF2-40B4-BE49-F238E27FC236}">
              <a16:creationId xmlns:a16="http://schemas.microsoft.com/office/drawing/2014/main" id="{4F542505-E72D-40A8-BFF6-5ED113E1876A}"/>
            </a:ext>
          </a:extLst>
        </xdr:cNvPr>
        <xdr:cNvSpPr txBox="1"/>
      </xdr:nvSpPr>
      <xdr:spPr>
        <a:xfrm>
          <a:off x="7809724" y="3374571"/>
          <a:ext cx="1248746" cy="287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46C35C-72CB-4686-85B5-25B56175C1DE}" type="TxLink">
            <a:rPr lang="en-US" sz="1100" b="1" i="0" u="none" strike="noStrike">
              <a:solidFill>
                <a:schemeClr val="bg1"/>
              </a:solidFill>
              <a:latin typeface="Calibri"/>
              <a:cs typeface="Calibri"/>
            </a:rPr>
            <a:pPr/>
            <a:t>Leave:27 Days</a:t>
          </a:fld>
          <a:endParaRPr lang="en-IN" sz="1100" b="1">
            <a:solidFill>
              <a:schemeClr val="bg1"/>
            </a:solidFill>
          </a:endParaRPr>
        </a:p>
      </xdr:txBody>
    </xdr:sp>
    <xdr:clientData/>
  </xdr:twoCellAnchor>
  <xdr:twoCellAnchor>
    <xdr:from>
      <xdr:col>12</xdr:col>
      <xdr:colOff>528735</xdr:colOff>
      <xdr:row>20</xdr:row>
      <xdr:rowOff>1</xdr:rowOff>
    </xdr:from>
    <xdr:to>
      <xdr:col>14</xdr:col>
      <xdr:colOff>528736</xdr:colOff>
      <xdr:row>21</xdr:row>
      <xdr:rowOff>46652</xdr:rowOff>
    </xdr:to>
    <xdr:sp macro="" textlink="Pivots!B31">
      <xdr:nvSpPr>
        <xdr:cNvPr id="55" name="TextBox 54">
          <a:extLst>
            <a:ext uri="{FF2B5EF4-FFF2-40B4-BE49-F238E27FC236}">
              <a16:creationId xmlns:a16="http://schemas.microsoft.com/office/drawing/2014/main" id="{D0388612-24D6-4A7C-BAB2-66C363CC5643}"/>
            </a:ext>
          </a:extLst>
        </xdr:cNvPr>
        <xdr:cNvSpPr txBox="1"/>
      </xdr:nvSpPr>
      <xdr:spPr>
        <a:xfrm>
          <a:off x="7806613" y="3677817"/>
          <a:ext cx="1212980" cy="233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A4BBA0-437E-4DA5-A92E-A2C8E6B525E8}" type="TxLink">
            <a:rPr lang="en-US" sz="1100" b="1" i="0" u="none" strike="noStrike">
              <a:solidFill>
                <a:schemeClr val="bg1"/>
              </a:solidFill>
              <a:latin typeface="Calibri"/>
              <a:cs typeface="Calibri"/>
            </a:rPr>
            <a:pPr/>
            <a:t>Week Off:52 Days</a:t>
          </a:fld>
          <a:endParaRPr lang="en-IN" sz="1100" b="1">
            <a:solidFill>
              <a:schemeClr val="bg1"/>
            </a:solidFill>
          </a:endParaRPr>
        </a:p>
      </xdr:txBody>
    </xdr:sp>
    <xdr:clientData/>
  </xdr:twoCellAnchor>
  <xdr:twoCellAnchor>
    <xdr:from>
      <xdr:col>12</xdr:col>
      <xdr:colOff>528734</xdr:colOff>
      <xdr:row>21</xdr:row>
      <xdr:rowOff>124408</xdr:rowOff>
    </xdr:from>
    <xdr:to>
      <xdr:col>14</xdr:col>
      <xdr:colOff>552061</xdr:colOff>
      <xdr:row>23</xdr:row>
      <xdr:rowOff>23326</xdr:rowOff>
    </xdr:to>
    <xdr:sp macro="" textlink="Pivots!D31">
      <xdr:nvSpPr>
        <xdr:cNvPr id="56" name="TextBox 55">
          <a:extLst>
            <a:ext uri="{FF2B5EF4-FFF2-40B4-BE49-F238E27FC236}">
              <a16:creationId xmlns:a16="http://schemas.microsoft.com/office/drawing/2014/main" id="{A98A7C66-1F06-4FD1-A4CA-5A7A3FAB469A}"/>
            </a:ext>
          </a:extLst>
        </xdr:cNvPr>
        <xdr:cNvSpPr txBox="1"/>
      </xdr:nvSpPr>
      <xdr:spPr>
        <a:xfrm>
          <a:off x="7806612" y="3988837"/>
          <a:ext cx="1236306"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8E0E7A-9FBC-4590-A834-D82B2A4F567E}" type="TxLink">
            <a:rPr lang="en-US" sz="1100" b="1" i="0" u="none" strike="noStrike">
              <a:solidFill>
                <a:schemeClr val="bg1"/>
              </a:solidFill>
              <a:latin typeface="Calibri"/>
              <a:cs typeface="Calibri"/>
            </a:rPr>
            <a:pPr/>
            <a:t>HoliDay:24 Days</a:t>
          </a:fld>
          <a:endParaRPr lang="en-IN" sz="1100" b="1">
            <a:solidFill>
              <a:schemeClr val="bg1"/>
            </a:solidFill>
          </a:endParaRPr>
        </a:p>
      </xdr:txBody>
    </xdr:sp>
    <xdr:clientData/>
  </xdr:twoCellAnchor>
  <xdr:twoCellAnchor editAs="absolute">
    <xdr:from>
      <xdr:col>0</xdr:col>
      <xdr:colOff>110613</xdr:colOff>
      <xdr:row>31</xdr:row>
      <xdr:rowOff>159774</xdr:rowOff>
    </xdr:from>
    <xdr:to>
      <xdr:col>6</xdr:col>
      <xdr:colOff>159773</xdr:colOff>
      <xdr:row>36</xdr:row>
      <xdr:rowOff>73741</xdr:rowOff>
    </xdr:to>
    <xdr:sp macro="" textlink="">
      <xdr:nvSpPr>
        <xdr:cNvPr id="58" name="Rectangle: Rounded Corners 57">
          <a:extLst>
            <a:ext uri="{FF2B5EF4-FFF2-40B4-BE49-F238E27FC236}">
              <a16:creationId xmlns:a16="http://schemas.microsoft.com/office/drawing/2014/main" id="{B474806B-336B-4781-A5EE-73AEC2E8EE6B}"/>
            </a:ext>
          </a:extLst>
        </xdr:cNvPr>
        <xdr:cNvSpPr/>
      </xdr:nvSpPr>
      <xdr:spPr>
        <a:xfrm>
          <a:off x="110613" y="5825613"/>
          <a:ext cx="3736257" cy="83574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0</xdr:col>
      <xdr:colOff>214314</xdr:colOff>
      <xdr:row>32</xdr:row>
      <xdr:rowOff>23813</xdr:rowOff>
    </xdr:from>
    <xdr:to>
      <xdr:col>5</xdr:col>
      <xdr:colOff>491614</xdr:colOff>
      <xdr:row>36</xdr:row>
      <xdr:rowOff>12291</xdr:rowOff>
    </xdr:to>
    <mc:AlternateContent xmlns:mc="http://schemas.openxmlformats.org/markup-compatibility/2006" xmlns:a14="http://schemas.microsoft.com/office/drawing/2010/main">
      <mc:Choice Requires="a14">
        <xdr:graphicFrame macro="">
          <xdr:nvGraphicFramePr>
            <xdr:cNvPr id="59" name="Designation">
              <a:extLst>
                <a:ext uri="{FF2B5EF4-FFF2-40B4-BE49-F238E27FC236}">
                  <a16:creationId xmlns:a16="http://schemas.microsoft.com/office/drawing/2014/main" id="{2A1FAB57-8802-45CD-A020-FE12CA7C5115}"/>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294966" y="5899354"/>
              <a:ext cx="3269228" cy="700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485914</xdr:colOff>
      <xdr:row>25</xdr:row>
      <xdr:rowOff>16796</xdr:rowOff>
    </xdr:from>
    <xdr:to>
      <xdr:col>15</xdr:col>
      <xdr:colOff>281597</xdr:colOff>
      <xdr:row>36</xdr:row>
      <xdr:rowOff>98322</xdr:rowOff>
    </xdr:to>
    <xdr:graphicFrame macro="">
      <xdr:nvGraphicFramePr>
        <xdr:cNvPr id="57" name="Chart 1">
          <a:extLst>
            <a:ext uri="{FF2B5EF4-FFF2-40B4-BE49-F238E27FC236}">
              <a16:creationId xmlns:a16="http://schemas.microsoft.com/office/drawing/2014/main" id="{D2B98F36-F324-7873-E2A8-E2187811E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349251</xdr:colOff>
      <xdr:row>37</xdr:row>
      <xdr:rowOff>1025</xdr:rowOff>
    </xdr:from>
    <xdr:to>
      <xdr:col>16</xdr:col>
      <xdr:colOff>357189</xdr:colOff>
      <xdr:row>38</xdr:row>
      <xdr:rowOff>85264</xdr:rowOff>
    </xdr:to>
    <xdr:sp macro="" textlink="Pivots!H65">
      <xdr:nvSpPr>
        <xdr:cNvPr id="60" name="TextBox 59">
          <a:extLst>
            <a:ext uri="{FF2B5EF4-FFF2-40B4-BE49-F238E27FC236}">
              <a16:creationId xmlns:a16="http://schemas.microsoft.com/office/drawing/2014/main" id="{CB975119-8B73-34E8-7EC7-0B50B50DE48F}"/>
            </a:ext>
          </a:extLst>
        </xdr:cNvPr>
        <xdr:cNvSpPr txBox="1"/>
      </xdr:nvSpPr>
      <xdr:spPr>
        <a:xfrm>
          <a:off x="8294689" y="6700275"/>
          <a:ext cx="1841500" cy="266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64F1C1A-8FC5-466C-BD17-BC052FFFD857}" type="TxLink">
            <a:rPr lang="en-US" sz="1100" b="0" i="0" u="none" strike="noStrike">
              <a:solidFill>
                <a:srgbClr val="000000"/>
              </a:solidFill>
              <a:latin typeface="Calibri"/>
              <a:cs typeface="Calibri"/>
            </a:rPr>
            <a:pPr algn="l"/>
            <a:t>Report of 2025</a:t>
          </a:fld>
          <a:endParaRPr lang="en-IN" sz="1100"/>
        </a:p>
      </xdr:txBody>
    </xdr:sp>
    <xdr:clientData/>
  </xdr:twoCellAnchor>
  <xdr:twoCellAnchor>
    <xdr:from>
      <xdr:col>6</xdr:col>
      <xdr:colOff>528485</xdr:colOff>
      <xdr:row>37</xdr:row>
      <xdr:rowOff>12289</xdr:rowOff>
    </xdr:from>
    <xdr:to>
      <xdr:col>9</xdr:col>
      <xdr:colOff>61453</xdr:colOff>
      <xdr:row>38</xdr:row>
      <xdr:rowOff>86031</xdr:rowOff>
    </xdr:to>
    <xdr:sp macro="" textlink="Pivots!B62">
      <xdr:nvSpPr>
        <xdr:cNvPr id="61" name="TextBox 60">
          <a:extLst>
            <a:ext uri="{FF2B5EF4-FFF2-40B4-BE49-F238E27FC236}">
              <a16:creationId xmlns:a16="http://schemas.microsoft.com/office/drawing/2014/main" id="{E3B2AF9C-2D04-19B5-8D11-F43B98D9F6FC}"/>
            </a:ext>
          </a:extLst>
        </xdr:cNvPr>
        <xdr:cNvSpPr txBox="1"/>
      </xdr:nvSpPr>
      <xdr:spPr>
        <a:xfrm>
          <a:off x="4215582" y="6784257"/>
          <a:ext cx="1376516" cy="258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9B7A43-DD3D-41AF-A692-8FF801B00F1F}" type="TxLink">
            <a:rPr lang="en-US" sz="1100" b="0" i="0" u="none" strike="noStrike">
              <a:solidFill>
                <a:srgbClr val="000000"/>
              </a:solidFill>
              <a:latin typeface="Calibri"/>
              <a:cs typeface="Calibri"/>
            </a:rPr>
            <a:pPr/>
            <a:t>Total Employee:11</a:t>
          </a:fld>
          <a:endParaRPr lang="en-IN" sz="1100"/>
        </a:p>
      </xdr:txBody>
    </xdr:sp>
    <xdr:clientData/>
  </xdr:twoCellAnchor>
  <xdr:twoCellAnchor>
    <xdr:from>
      <xdr:col>8</xdr:col>
      <xdr:colOff>594852</xdr:colOff>
      <xdr:row>37</xdr:row>
      <xdr:rowOff>1328</xdr:rowOff>
    </xdr:from>
    <xdr:to>
      <xdr:col>10</xdr:col>
      <xdr:colOff>582562</xdr:colOff>
      <xdr:row>38</xdr:row>
      <xdr:rowOff>111941</xdr:rowOff>
    </xdr:to>
    <xdr:sp macro="" textlink="Pivots!C62">
      <xdr:nvSpPr>
        <xdr:cNvPr id="62" name="TextBox 61">
          <a:extLst>
            <a:ext uri="{FF2B5EF4-FFF2-40B4-BE49-F238E27FC236}">
              <a16:creationId xmlns:a16="http://schemas.microsoft.com/office/drawing/2014/main" id="{F022CE03-60A8-4506-AC1F-AEA1C492CC3E}"/>
            </a:ext>
          </a:extLst>
        </xdr:cNvPr>
        <xdr:cNvSpPr txBox="1"/>
      </xdr:nvSpPr>
      <xdr:spPr>
        <a:xfrm>
          <a:off x="5484352" y="6700578"/>
          <a:ext cx="1210085" cy="29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66C4C6-B209-42E2-80FF-DC4298E0C924}" type="TxLink">
            <a:rPr lang="en-US" sz="1100" b="0" i="0" u="none" strike="noStrike">
              <a:solidFill>
                <a:srgbClr val="000000"/>
              </a:solidFill>
              <a:latin typeface="Calibri"/>
              <a:cs typeface="Calibri"/>
            </a:rPr>
            <a:pPr/>
            <a:t>Total Days:365</a:t>
          </a:fld>
          <a:endParaRPr lang="en-IN" sz="1100"/>
        </a:p>
      </xdr:txBody>
    </xdr:sp>
    <xdr:clientData/>
  </xdr:twoCellAnchor>
  <xdr:twoCellAnchor>
    <xdr:from>
      <xdr:col>17</xdr:col>
      <xdr:colOff>505798</xdr:colOff>
      <xdr:row>36</xdr:row>
      <xdr:rowOff>182410</xdr:rowOff>
    </xdr:from>
    <xdr:to>
      <xdr:col>23</xdr:col>
      <xdr:colOff>254000</xdr:colOff>
      <xdr:row>38</xdr:row>
      <xdr:rowOff>100627</xdr:rowOff>
    </xdr:to>
    <xdr:sp macro="" textlink="Pivots!I65">
      <xdr:nvSpPr>
        <xdr:cNvPr id="63" name="TextBox 62">
          <a:extLst>
            <a:ext uri="{FF2B5EF4-FFF2-40B4-BE49-F238E27FC236}">
              <a16:creationId xmlns:a16="http://schemas.microsoft.com/office/drawing/2014/main" id="{BA304796-3441-4DFB-AF64-4CEA158A66A7}"/>
            </a:ext>
          </a:extLst>
        </xdr:cNvPr>
        <xdr:cNvSpPr txBox="1"/>
      </xdr:nvSpPr>
      <xdr:spPr>
        <a:xfrm>
          <a:off x="10895986" y="6699098"/>
          <a:ext cx="3415327" cy="283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E15D9C-438D-419C-9CA6-B2A5F6C7F047}" type="TxLink">
            <a:rPr lang="en-US" sz="1100" b="0" i="0" u="none" strike="noStrike">
              <a:solidFill>
                <a:srgbClr val="000000"/>
              </a:solidFill>
              <a:latin typeface="Calibri"/>
              <a:cs typeface="Calibri"/>
            </a:rPr>
            <a:pPr/>
            <a:t>Last Updated June 23 2026 04:58 PM</a:t>
          </a:fld>
          <a:endParaRPr lang="en-IN" sz="1100"/>
        </a:p>
      </xdr:txBody>
    </xdr:sp>
    <xdr:clientData/>
  </xdr:twoCellAnchor>
  <xdr:twoCellAnchor>
    <xdr:from>
      <xdr:col>10</xdr:col>
      <xdr:colOff>5</xdr:colOff>
      <xdr:row>21</xdr:row>
      <xdr:rowOff>98325</xdr:rowOff>
    </xdr:from>
    <xdr:to>
      <xdr:col>11</xdr:col>
      <xdr:colOff>528489</xdr:colOff>
      <xdr:row>22</xdr:row>
      <xdr:rowOff>147486</xdr:rowOff>
    </xdr:to>
    <xdr:sp macro="" textlink="Pivots!N64">
      <xdr:nvSpPr>
        <xdr:cNvPr id="64" name="TextBox 63">
          <a:extLst>
            <a:ext uri="{FF2B5EF4-FFF2-40B4-BE49-F238E27FC236}">
              <a16:creationId xmlns:a16="http://schemas.microsoft.com/office/drawing/2014/main" id="{38D71126-12F4-1DCC-D1F7-3FAA85B50B19}"/>
            </a:ext>
          </a:extLst>
        </xdr:cNvPr>
        <xdr:cNvSpPr txBox="1"/>
      </xdr:nvSpPr>
      <xdr:spPr>
        <a:xfrm>
          <a:off x="6145166" y="3920615"/>
          <a:ext cx="1143000" cy="233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F8EE39-FB99-4C34-9C2D-1A7BD2F38B0E}" type="TxLink">
            <a:rPr lang="en-US" sz="1100" b="1" i="0" u="none" strike="noStrike">
              <a:solidFill>
                <a:schemeClr val="bg1"/>
              </a:solidFill>
              <a:latin typeface="Calibri"/>
              <a:cs typeface="Calibri"/>
            </a:rPr>
            <a:pPr/>
            <a:t>Work Days:286</a:t>
          </a:fld>
          <a:endParaRPr lang="en-IN" sz="1100" b="1">
            <a:solidFill>
              <a:schemeClr val="bg1"/>
            </a:solidFill>
          </a:endParaRPr>
        </a:p>
      </xdr:txBody>
    </xdr:sp>
    <xdr:clientData/>
  </xdr:twoCellAnchor>
  <xdr:twoCellAnchor>
    <xdr:from>
      <xdr:col>10</xdr:col>
      <xdr:colOff>528484</xdr:colOff>
      <xdr:row>36</xdr:row>
      <xdr:rowOff>172064</xdr:rowOff>
    </xdr:from>
    <xdr:to>
      <xdr:col>13</xdr:col>
      <xdr:colOff>159774</xdr:colOff>
      <xdr:row>38</xdr:row>
      <xdr:rowOff>49160</xdr:rowOff>
    </xdr:to>
    <xdr:sp macro="" textlink="Pivots!W63">
      <xdr:nvSpPr>
        <xdr:cNvPr id="65" name="TextBox 64">
          <a:extLst>
            <a:ext uri="{FF2B5EF4-FFF2-40B4-BE49-F238E27FC236}">
              <a16:creationId xmlns:a16="http://schemas.microsoft.com/office/drawing/2014/main" id="{051E7B60-73B4-4447-FBB0-C6700D5571E4}"/>
            </a:ext>
          </a:extLst>
        </xdr:cNvPr>
        <xdr:cNvSpPr txBox="1"/>
      </xdr:nvSpPr>
      <xdr:spPr>
        <a:xfrm>
          <a:off x="6673645" y="6759677"/>
          <a:ext cx="1474839" cy="245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0D1CDB-3DEA-4DF8-898B-1C5074EB53DC}" type="TxLink">
            <a:rPr lang="en-US" sz="1100" b="0" i="0" u="none" strike="noStrike">
              <a:solidFill>
                <a:srgbClr val="000000"/>
              </a:solidFill>
              <a:latin typeface="Calibri"/>
              <a:cs typeface="Calibri"/>
            </a:rPr>
            <a:pPr/>
            <a:t>Total Work Days:286</a:t>
          </a:fld>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0.44304</cdr:x>
      <cdr:y>0.31126</cdr:y>
    </cdr:from>
    <cdr:to>
      <cdr:x>0.61483</cdr:x>
      <cdr:y>0.4404</cdr:y>
    </cdr:to>
    <cdr:sp macro="" textlink="">
      <cdr:nvSpPr>
        <cdr:cNvPr id="2" name="TextBox 1">
          <a:extLst xmlns:a="http://schemas.openxmlformats.org/drawingml/2006/main">
            <a:ext uri="{FF2B5EF4-FFF2-40B4-BE49-F238E27FC236}">
              <a16:creationId xmlns:a16="http://schemas.microsoft.com/office/drawing/2014/main" id="{472A4DD4-7407-2AE3-AC38-3EF306C21458}"/>
            </a:ext>
          </a:extLst>
        </cdr:cNvPr>
        <cdr:cNvSpPr txBox="1"/>
      </cdr:nvSpPr>
      <cdr:spPr>
        <a:xfrm xmlns:a="http://schemas.openxmlformats.org/drawingml/2006/main">
          <a:off x="1905000" y="730897"/>
          <a:ext cx="738673" cy="3032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0.45389</cdr:x>
      <cdr:y>0.32119</cdr:y>
    </cdr:from>
    <cdr:to>
      <cdr:x>0.62749</cdr:x>
      <cdr:y>0.46358</cdr:y>
    </cdr:to>
    <cdr:sp macro="" textlink="">
      <cdr:nvSpPr>
        <cdr:cNvPr id="3" name="TextBox 2">
          <a:extLst xmlns:a="http://schemas.openxmlformats.org/drawingml/2006/main">
            <a:ext uri="{FF2B5EF4-FFF2-40B4-BE49-F238E27FC236}">
              <a16:creationId xmlns:a16="http://schemas.microsoft.com/office/drawing/2014/main" id="{CBA48B9B-21A9-4602-7D46-E2A28D478F1D}"/>
            </a:ext>
          </a:extLst>
        </cdr:cNvPr>
        <cdr:cNvSpPr txBox="1"/>
      </cdr:nvSpPr>
      <cdr:spPr>
        <a:xfrm xmlns:a="http://schemas.openxmlformats.org/drawingml/2006/main">
          <a:off x="1951653" y="754223"/>
          <a:ext cx="746449" cy="3343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6.562374074078" createdVersion="8" refreshedVersion="8" minRefreshableVersion="3" recordCount="132" xr:uid="{A9B8CBB1-57B7-4164-BFD8-AA56408BE122}">
  <cacheSource type="worksheet">
    <worksheetSource name="JanReport"/>
  </cacheSource>
  <cacheFields count="20">
    <cacheField name="Emp ID" numFmtId="0">
      <sharedItems count="11">
        <s v="Emp001"/>
        <s v="Emp002"/>
        <s v="Emp003"/>
        <s v="Emp004"/>
        <s v="Emp005"/>
        <s v="Emp006"/>
        <s v="Emp007"/>
        <s v="Emp008"/>
        <s v="Emp009"/>
        <s v="Emp010"/>
        <s v="Emp011"/>
      </sharedItems>
    </cacheField>
    <cacheField name="Name" numFmtId="0">
      <sharedItems count="11">
        <s v="Ajay Saniyal"/>
        <s v="Hari Pandit"/>
        <s v="Chitra Sen"/>
        <s v="Ahana Chowdhury"/>
        <s v="Boby Sarkar"/>
        <s v="Rubi Roy"/>
        <s v="Mali Gupta"/>
        <s v="Sujay Sarkar"/>
        <s v="Aytri Roy"/>
        <s v="Biswanath Sil"/>
        <s v="Vijay Chatterjeee"/>
      </sharedItems>
    </cacheField>
    <cacheField name="Month" numFmtId="0">
      <sharedItems count="12">
        <s v="January"/>
        <s v="February"/>
        <s v="March"/>
        <s v="April"/>
        <s v="May"/>
        <s v="June"/>
        <s v="July"/>
        <s v="August"/>
        <s v="September"/>
        <s v="October"/>
        <s v="November"/>
        <s v="December"/>
      </sharedItems>
    </cacheField>
    <cacheField name="Designation" numFmtId="0">
      <sharedItems count="6">
        <s v="Manager"/>
        <s v="Team Leader"/>
        <s v="HR"/>
        <s v="Analyst"/>
        <s v="Accountant"/>
        <s v="Stuff"/>
      </sharedItems>
    </cacheField>
    <cacheField name="Presence" numFmtId="0">
      <sharedItems containsSemiMixedTypes="0" containsString="0" containsNumber="1" containsInteger="1" minValue="18" maxValue="27" count="10">
        <n v="22"/>
        <n v="23"/>
        <n v="21"/>
        <n v="19"/>
        <n v="20"/>
        <n v="18"/>
        <n v="24"/>
        <n v="25"/>
        <n v="26"/>
        <n v="27"/>
      </sharedItems>
    </cacheField>
    <cacheField name="Absence" numFmtId="0">
      <sharedItems containsSemiMixedTypes="0" containsString="0" containsNumber="1" containsInteger="1" minValue="0" maxValue="2" count="3">
        <n v="1"/>
        <n v="0"/>
        <n v="2"/>
      </sharedItems>
    </cacheField>
    <cacheField name="Leave" numFmtId="0">
      <sharedItems containsSemiMixedTypes="0" containsString="0" containsNumber="1" containsInteger="1" minValue="0" maxValue="4"/>
    </cacheField>
    <cacheField name="holiday" numFmtId="0">
      <sharedItems containsSemiMixedTypes="0" containsString="0" containsNumber="1" containsInteger="1" minValue="0" maxValue="4"/>
    </cacheField>
    <cacheField name="Week off" numFmtId="0">
      <sharedItems containsSemiMixedTypes="0" containsString="0" containsNumber="1" containsInteger="1" minValue="4" maxValue="5"/>
    </cacheField>
    <cacheField name="Total Days in Month" numFmtId="0">
      <sharedItems containsSemiMixedTypes="0" containsString="0" containsNumber="1" containsInteger="1" minValue="28" maxValue="31"/>
    </cacheField>
    <cacheField name="Total Payable Days" numFmtId="0">
      <sharedItems containsSemiMixedTypes="0" containsString="0" containsNumber="1" containsInteger="1" minValue="26" maxValue="31"/>
    </cacheField>
    <cacheField name="Basic Salary" numFmtId="0">
      <sharedItems containsSemiMixedTypes="0" containsString="0" containsNumber="1" containsInteger="1" minValue="12000" maxValue="70000"/>
    </cacheField>
    <cacheField name="Per day Salary" numFmtId="0">
      <sharedItems containsSemiMixedTypes="0" containsString="0" containsNumber="1" minValue="387.09677419354841" maxValue="2500"/>
    </cacheField>
    <cacheField name="HRA" numFmtId="0">
      <sharedItems containsSemiMixedTypes="0" containsString="0" containsNumber="1" containsInteger="1" minValue="1200" maxValue="7000"/>
    </cacheField>
    <cacheField name="PF" numFmtId="0">
      <sharedItems containsSemiMixedTypes="0" containsString="0" containsNumber="1" containsInteger="1" minValue="960" maxValue="5600"/>
    </cacheField>
    <cacheField name="Total Amount" numFmtId="0">
      <sharedItems containsSemiMixedTypes="0" containsString="0" containsNumber="1" minValue="12400" maxValue="77000"/>
    </cacheField>
    <cacheField name="In hand Amount" numFmtId="0">
      <sharedItems containsSemiMixedTypes="0" containsString="0" containsNumber="1" minValue="11440" maxValue="71400"/>
    </cacheField>
    <cacheField name="Sparkline" numFmtId="0">
      <sharedItems containsNonDate="0" containsString="0" containsBlank="1"/>
    </cacheField>
    <cacheField name="Avg Attendence" numFmtId="0" formula=" AVERAGE(Presence+Leave+'Week off')" databaseField="0"/>
    <cacheField name="Attendence" numFmtId="0" formula=" (Presence+Leave+'Week off')/'Total Days in Month'" databaseField="0"/>
  </cacheFields>
  <extLst>
    <ext xmlns:x14="http://schemas.microsoft.com/office/spreadsheetml/2009/9/main" uri="{725AE2AE-9491-48be-B2B4-4EB974FC3084}">
      <x14:pivotCacheDefinition pivotCacheId="1785927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x v="0"/>
    <x v="0"/>
    <x v="0"/>
    <x v="0"/>
    <x v="0"/>
    <n v="4"/>
    <n v="4"/>
    <n v="4"/>
    <n v="31"/>
    <n v="30"/>
    <n v="70000"/>
    <n v="2258.0645161290322"/>
    <n v="7000"/>
    <n v="5600"/>
    <n v="74741.93548387097"/>
    <n v="69141.93548387097"/>
    <m/>
  </r>
  <r>
    <x v="1"/>
    <x v="1"/>
    <x v="0"/>
    <x v="1"/>
    <x v="0"/>
    <x v="0"/>
    <n v="4"/>
    <n v="4"/>
    <n v="4"/>
    <n v="31"/>
    <n v="30"/>
    <n v="40000"/>
    <n v="1290.3225806451612"/>
    <n v="4000"/>
    <n v="3200"/>
    <n v="42709.677419354834"/>
    <n v="39509.677419354834"/>
    <m/>
  </r>
  <r>
    <x v="2"/>
    <x v="2"/>
    <x v="0"/>
    <x v="2"/>
    <x v="0"/>
    <x v="0"/>
    <n v="4"/>
    <n v="4"/>
    <n v="4"/>
    <n v="31"/>
    <n v="30"/>
    <n v="50000"/>
    <n v="1612.9032258064517"/>
    <n v="5000"/>
    <n v="4000"/>
    <n v="53387.096774193553"/>
    <n v="49387.096774193553"/>
    <m/>
  </r>
  <r>
    <x v="3"/>
    <x v="3"/>
    <x v="0"/>
    <x v="1"/>
    <x v="0"/>
    <x v="0"/>
    <n v="4"/>
    <n v="4"/>
    <n v="4"/>
    <n v="31"/>
    <n v="30"/>
    <n v="40000"/>
    <n v="1290.3225806451612"/>
    <n v="4000"/>
    <n v="3200"/>
    <n v="42709.677419354834"/>
    <n v="39509.677419354834"/>
    <m/>
  </r>
  <r>
    <x v="4"/>
    <x v="4"/>
    <x v="0"/>
    <x v="3"/>
    <x v="0"/>
    <x v="0"/>
    <n v="4"/>
    <n v="4"/>
    <n v="4"/>
    <n v="31"/>
    <n v="30"/>
    <n v="25000"/>
    <n v="806.45161290322585"/>
    <n v="2500"/>
    <n v="2000"/>
    <n v="26693.548387096776"/>
    <n v="24693.548387096776"/>
    <m/>
  </r>
  <r>
    <x v="5"/>
    <x v="5"/>
    <x v="0"/>
    <x v="3"/>
    <x v="1"/>
    <x v="1"/>
    <n v="4"/>
    <n v="4"/>
    <n v="4"/>
    <n v="31"/>
    <n v="31"/>
    <n v="25000"/>
    <n v="806.45161290322585"/>
    <n v="2500"/>
    <n v="2000"/>
    <n v="27500"/>
    <n v="25500"/>
    <m/>
  </r>
  <r>
    <x v="6"/>
    <x v="6"/>
    <x v="0"/>
    <x v="4"/>
    <x v="0"/>
    <x v="0"/>
    <n v="4"/>
    <n v="4"/>
    <n v="4"/>
    <n v="31"/>
    <n v="30"/>
    <n v="30000"/>
    <n v="967.74193548387098"/>
    <n v="3000"/>
    <n v="2400"/>
    <n v="32032.258064516129"/>
    <n v="29632.258064516129"/>
    <m/>
  </r>
  <r>
    <x v="7"/>
    <x v="7"/>
    <x v="0"/>
    <x v="0"/>
    <x v="0"/>
    <x v="0"/>
    <n v="4"/>
    <n v="4"/>
    <n v="4"/>
    <n v="31"/>
    <n v="30"/>
    <n v="70000"/>
    <n v="2258.0645161290322"/>
    <n v="7000"/>
    <n v="5600"/>
    <n v="74741.93548387097"/>
    <n v="69141.93548387097"/>
    <m/>
  </r>
  <r>
    <x v="8"/>
    <x v="8"/>
    <x v="0"/>
    <x v="2"/>
    <x v="2"/>
    <x v="2"/>
    <n v="4"/>
    <n v="4"/>
    <n v="4"/>
    <n v="31"/>
    <n v="29"/>
    <n v="50000"/>
    <n v="1612.9032258064517"/>
    <n v="5000"/>
    <n v="4000"/>
    <n v="51774.193548387098"/>
    <n v="47774.193548387098"/>
    <m/>
  </r>
  <r>
    <x v="9"/>
    <x v="9"/>
    <x v="0"/>
    <x v="5"/>
    <x v="1"/>
    <x v="1"/>
    <n v="4"/>
    <n v="4"/>
    <n v="4"/>
    <n v="31"/>
    <n v="31"/>
    <n v="12000"/>
    <n v="387.09677419354841"/>
    <n v="1200"/>
    <n v="960"/>
    <n v="13200"/>
    <n v="12240"/>
    <m/>
  </r>
  <r>
    <x v="10"/>
    <x v="10"/>
    <x v="0"/>
    <x v="5"/>
    <x v="0"/>
    <x v="0"/>
    <n v="4"/>
    <n v="4"/>
    <n v="4"/>
    <n v="31"/>
    <n v="30"/>
    <n v="12000"/>
    <n v="387.09677419354841"/>
    <n v="1200"/>
    <n v="960"/>
    <n v="12812.903225806453"/>
    <n v="11852.903225806453"/>
    <m/>
  </r>
  <r>
    <x v="0"/>
    <x v="0"/>
    <x v="1"/>
    <x v="0"/>
    <x v="3"/>
    <x v="0"/>
    <n v="4"/>
    <n v="4"/>
    <n v="4"/>
    <n v="28"/>
    <n v="27"/>
    <n v="70000"/>
    <n v="2500"/>
    <n v="7000"/>
    <n v="5600"/>
    <n v="74500"/>
    <n v="68900"/>
    <m/>
  </r>
  <r>
    <x v="1"/>
    <x v="1"/>
    <x v="1"/>
    <x v="1"/>
    <x v="4"/>
    <x v="1"/>
    <n v="4"/>
    <n v="4"/>
    <n v="4"/>
    <n v="28"/>
    <n v="28"/>
    <n v="40000"/>
    <n v="1428.5714285714287"/>
    <n v="4000"/>
    <n v="3200"/>
    <n v="44000"/>
    <n v="40800"/>
    <m/>
  </r>
  <r>
    <x v="2"/>
    <x v="2"/>
    <x v="1"/>
    <x v="2"/>
    <x v="3"/>
    <x v="0"/>
    <n v="4"/>
    <n v="4"/>
    <n v="4"/>
    <n v="28"/>
    <n v="27"/>
    <n v="50000"/>
    <n v="1785.7142857142858"/>
    <n v="5000"/>
    <n v="4000"/>
    <n v="53214.285714285717"/>
    <n v="49214.285714285717"/>
    <m/>
  </r>
  <r>
    <x v="3"/>
    <x v="3"/>
    <x v="1"/>
    <x v="1"/>
    <x v="3"/>
    <x v="0"/>
    <n v="4"/>
    <n v="4"/>
    <n v="4"/>
    <n v="28"/>
    <n v="27"/>
    <n v="40000"/>
    <n v="1428.5714285714287"/>
    <n v="4000"/>
    <n v="3200"/>
    <n v="42571.428571428572"/>
    <n v="39371.428571428572"/>
    <m/>
  </r>
  <r>
    <x v="4"/>
    <x v="4"/>
    <x v="1"/>
    <x v="3"/>
    <x v="3"/>
    <x v="0"/>
    <n v="4"/>
    <n v="4"/>
    <n v="4"/>
    <n v="28"/>
    <n v="27"/>
    <n v="25000"/>
    <n v="892.85714285714289"/>
    <n v="2500"/>
    <n v="2000"/>
    <n v="26607.142857142859"/>
    <n v="24607.142857142859"/>
    <m/>
  </r>
  <r>
    <x v="5"/>
    <x v="5"/>
    <x v="1"/>
    <x v="3"/>
    <x v="5"/>
    <x v="2"/>
    <n v="4"/>
    <n v="4"/>
    <n v="4"/>
    <n v="28"/>
    <n v="26"/>
    <n v="25000"/>
    <n v="892.85714285714289"/>
    <n v="2500"/>
    <n v="2000"/>
    <n v="25714.285714285714"/>
    <n v="23714.285714285714"/>
    <m/>
  </r>
  <r>
    <x v="6"/>
    <x v="6"/>
    <x v="1"/>
    <x v="4"/>
    <x v="4"/>
    <x v="1"/>
    <n v="4"/>
    <n v="4"/>
    <n v="4"/>
    <n v="28"/>
    <n v="28"/>
    <n v="30000"/>
    <n v="1071.4285714285713"/>
    <n v="3000"/>
    <n v="2400"/>
    <n v="33000"/>
    <n v="30600"/>
    <m/>
  </r>
  <r>
    <x v="7"/>
    <x v="7"/>
    <x v="1"/>
    <x v="0"/>
    <x v="3"/>
    <x v="0"/>
    <n v="4"/>
    <n v="4"/>
    <n v="4"/>
    <n v="28"/>
    <n v="27"/>
    <n v="70000"/>
    <n v="2500"/>
    <n v="7000"/>
    <n v="5600"/>
    <n v="74500"/>
    <n v="68900"/>
    <m/>
  </r>
  <r>
    <x v="8"/>
    <x v="8"/>
    <x v="1"/>
    <x v="2"/>
    <x v="3"/>
    <x v="0"/>
    <n v="4"/>
    <n v="4"/>
    <n v="4"/>
    <n v="28"/>
    <n v="27"/>
    <n v="50000"/>
    <n v="1785.7142857142858"/>
    <n v="5000"/>
    <n v="4000"/>
    <n v="53214.285714285717"/>
    <n v="49214.285714285717"/>
    <m/>
  </r>
  <r>
    <x v="9"/>
    <x v="9"/>
    <x v="1"/>
    <x v="5"/>
    <x v="3"/>
    <x v="0"/>
    <n v="4"/>
    <n v="4"/>
    <n v="4"/>
    <n v="28"/>
    <n v="27"/>
    <n v="12000"/>
    <n v="428.57142857142856"/>
    <n v="1200"/>
    <n v="960"/>
    <n v="12771.428571428571"/>
    <n v="11811.428571428571"/>
    <m/>
  </r>
  <r>
    <x v="10"/>
    <x v="10"/>
    <x v="1"/>
    <x v="5"/>
    <x v="4"/>
    <x v="1"/>
    <n v="4"/>
    <n v="4"/>
    <n v="4"/>
    <n v="28"/>
    <n v="28"/>
    <n v="12000"/>
    <n v="428.57142857142856"/>
    <n v="1200"/>
    <n v="960"/>
    <n v="13200"/>
    <n v="12240"/>
    <m/>
  </r>
  <r>
    <x v="0"/>
    <x v="0"/>
    <x v="2"/>
    <x v="0"/>
    <x v="2"/>
    <x v="0"/>
    <n v="4"/>
    <n v="4"/>
    <n v="5"/>
    <n v="31"/>
    <n v="30"/>
    <n v="70000"/>
    <n v="2258.0645161290322"/>
    <n v="7000"/>
    <n v="5600"/>
    <n v="74741.93548387097"/>
    <n v="69141.93548387097"/>
    <m/>
  </r>
  <r>
    <x v="1"/>
    <x v="1"/>
    <x v="2"/>
    <x v="1"/>
    <x v="2"/>
    <x v="0"/>
    <n v="4"/>
    <n v="4"/>
    <n v="5"/>
    <n v="31"/>
    <n v="30"/>
    <n v="40000"/>
    <n v="1290.3225806451612"/>
    <n v="4000"/>
    <n v="3200"/>
    <n v="42709.677419354834"/>
    <n v="39509.677419354834"/>
    <m/>
  </r>
  <r>
    <x v="2"/>
    <x v="2"/>
    <x v="2"/>
    <x v="2"/>
    <x v="2"/>
    <x v="0"/>
    <n v="4"/>
    <n v="4"/>
    <n v="5"/>
    <n v="31"/>
    <n v="30"/>
    <n v="50000"/>
    <n v="1612.9032258064517"/>
    <n v="5000"/>
    <n v="4000"/>
    <n v="53387.096774193553"/>
    <n v="49387.096774193553"/>
    <m/>
  </r>
  <r>
    <x v="3"/>
    <x v="3"/>
    <x v="2"/>
    <x v="1"/>
    <x v="0"/>
    <x v="1"/>
    <n v="4"/>
    <n v="4"/>
    <n v="5"/>
    <n v="31"/>
    <n v="31"/>
    <n v="40000"/>
    <n v="1290.3225806451612"/>
    <n v="4000"/>
    <n v="3200"/>
    <n v="44000"/>
    <n v="40800"/>
    <m/>
  </r>
  <r>
    <x v="4"/>
    <x v="4"/>
    <x v="2"/>
    <x v="3"/>
    <x v="4"/>
    <x v="2"/>
    <n v="4"/>
    <n v="4"/>
    <n v="5"/>
    <n v="31"/>
    <n v="29"/>
    <n v="25000"/>
    <n v="806.45161290322585"/>
    <n v="2500"/>
    <n v="2000"/>
    <n v="25887.096774193549"/>
    <n v="23887.096774193549"/>
    <m/>
  </r>
  <r>
    <x v="5"/>
    <x v="5"/>
    <x v="2"/>
    <x v="3"/>
    <x v="0"/>
    <x v="1"/>
    <n v="4"/>
    <n v="4"/>
    <n v="5"/>
    <n v="31"/>
    <n v="31"/>
    <n v="25000"/>
    <n v="806.45161290322585"/>
    <n v="2500"/>
    <n v="2000"/>
    <n v="27500"/>
    <n v="25500"/>
    <m/>
  </r>
  <r>
    <x v="6"/>
    <x v="6"/>
    <x v="2"/>
    <x v="4"/>
    <x v="0"/>
    <x v="1"/>
    <n v="4"/>
    <n v="4"/>
    <n v="5"/>
    <n v="31"/>
    <n v="31"/>
    <n v="30000"/>
    <n v="967.74193548387098"/>
    <n v="3000"/>
    <n v="2400"/>
    <n v="33000"/>
    <n v="30600"/>
    <m/>
  </r>
  <r>
    <x v="7"/>
    <x v="7"/>
    <x v="2"/>
    <x v="0"/>
    <x v="2"/>
    <x v="0"/>
    <n v="4"/>
    <n v="4"/>
    <n v="5"/>
    <n v="31"/>
    <n v="30"/>
    <n v="70000"/>
    <n v="2258.0645161290322"/>
    <n v="7000"/>
    <n v="5600"/>
    <n v="74741.93548387097"/>
    <n v="69141.93548387097"/>
    <m/>
  </r>
  <r>
    <x v="8"/>
    <x v="8"/>
    <x v="2"/>
    <x v="2"/>
    <x v="2"/>
    <x v="0"/>
    <n v="4"/>
    <n v="4"/>
    <n v="5"/>
    <n v="31"/>
    <n v="30"/>
    <n v="50000"/>
    <n v="1612.9032258064517"/>
    <n v="5000"/>
    <n v="4000"/>
    <n v="53387.096774193553"/>
    <n v="49387.096774193553"/>
    <m/>
  </r>
  <r>
    <x v="9"/>
    <x v="9"/>
    <x v="2"/>
    <x v="5"/>
    <x v="0"/>
    <x v="1"/>
    <n v="4"/>
    <n v="4"/>
    <n v="5"/>
    <n v="31"/>
    <n v="31"/>
    <n v="12000"/>
    <n v="387.09677419354841"/>
    <n v="1200"/>
    <n v="960"/>
    <n v="13200"/>
    <n v="12240"/>
    <m/>
  </r>
  <r>
    <x v="10"/>
    <x v="10"/>
    <x v="2"/>
    <x v="5"/>
    <x v="2"/>
    <x v="0"/>
    <n v="4"/>
    <n v="4"/>
    <n v="5"/>
    <n v="31"/>
    <n v="30"/>
    <n v="12000"/>
    <n v="387.09677419354841"/>
    <n v="1200"/>
    <n v="960"/>
    <n v="12812.903225806453"/>
    <n v="11852.903225806453"/>
    <m/>
  </r>
  <r>
    <x v="0"/>
    <x v="0"/>
    <x v="3"/>
    <x v="0"/>
    <x v="6"/>
    <x v="0"/>
    <n v="1"/>
    <n v="1"/>
    <n v="4"/>
    <n v="30"/>
    <n v="29"/>
    <n v="70000"/>
    <n v="2333.3333333333335"/>
    <n v="7000"/>
    <n v="5600"/>
    <n v="74666.666666666672"/>
    <n v="69066.666666666672"/>
    <m/>
  </r>
  <r>
    <x v="1"/>
    <x v="1"/>
    <x v="3"/>
    <x v="1"/>
    <x v="7"/>
    <x v="1"/>
    <n v="1"/>
    <n v="1"/>
    <n v="4"/>
    <n v="30"/>
    <n v="30"/>
    <n v="40000"/>
    <n v="1333.3333333333333"/>
    <n v="4000"/>
    <n v="3200"/>
    <n v="44000"/>
    <n v="40800"/>
    <m/>
  </r>
  <r>
    <x v="2"/>
    <x v="2"/>
    <x v="3"/>
    <x v="2"/>
    <x v="6"/>
    <x v="0"/>
    <n v="1"/>
    <n v="1"/>
    <n v="4"/>
    <n v="30"/>
    <n v="29"/>
    <n v="50000"/>
    <n v="1666.6666666666667"/>
    <n v="5000"/>
    <n v="4000"/>
    <n v="53333.333333333336"/>
    <n v="49333.333333333336"/>
    <m/>
  </r>
  <r>
    <x v="3"/>
    <x v="3"/>
    <x v="3"/>
    <x v="1"/>
    <x v="7"/>
    <x v="1"/>
    <n v="1"/>
    <n v="1"/>
    <n v="4"/>
    <n v="30"/>
    <n v="30"/>
    <n v="40000"/>
    <n v="1333.3333333333333"/>
    <n v="4000"/>
    <n v="3200"/>
    <n v="44000"/>
    <n v="40800"/>
    <m/>
  </r>
  <r>
    <x v="4"/>
    <x v="4"/>
    <x v="3"/>
    <x v="3"/>
    <x v="6"/>
    <x v="0"/>
    <n v="1"/>
    <n v="1"/>
    <n v="4"/>
    <n v="30"/>
    <n v="29"/>
    <n v="25000"/>
    <n v="833.33333333333337"/>
    <n v="2500"/>
    <n v="2000"/>
    <n v="26666.666666666668"/>
    <n v="24666.666666666668"/>
    <m/>
  </r>
  <r>
    <x v="5"/>
    <x v="5"/>
    <x v="3"/>
    <x v="3"/>
    <x v="7"/>
    <x v="1"/>
    <n v="1"/>
    <n v="1"/>
    <n v="4"/>
    <n v="30"/>
    <n v="30"/>
    <n v="25000"/>
    <n v="833.33333333333337"/>
    <n v="2500"/>
    <n v="2000"/>
    <n v="27500"/>
    <n v="25500"/>
    <m/>
  </r>
  <r>
    <x v="6"/>
    <x v="6"/>
    <x v="3"/>
    <x v="4"/>
    <x v="1"/>
    <x v="2"/>
    <n v="1"/>
    <n v="1"/>
    <n v="4"/>
    <n v="30"/>
    <n v="28"/>
    <n v="30000"/>
    <n v="1000"/>
    <n v="3000"/>
    <n v="2400"/>
    <n v="31000"/>
    <n v="28600"/>
    <m/>
  </r>
  <r>
    <x v="7"/>
    <x v="7"/>
    <x v="3"/>
    <x v="0"/>
    <x v="7"/>
    <x v="1"/>
    <n v="1"/>
    <n v="1"/>
    <n v="4"/>
    <n v="30"/>
    <n v="30"/>
    <n v="70000"/>
    <n v="2333.3333333333335"/>
    <n v="7000"/>
    <n v="5600"/>
    <n v="77000"/>
    <n v="71400"/>
    <m/>
  </r>
  <r>
    <x v="8"/>
    <x v="8"/>
    <x v="3"/>
    <x v="2"/>
    <x v="6"/>
    <x v="0"/>
    <n v="1"/>
    <n v="1"/>
    <n v="4"/>
    <n v="30"/>
    <n v="29"/>
    <n v="50000"/>
    <n v="1666.6666666666667"/>
    <n v="5000"/>
    <n v="4000"/>
    <n v="53333.333333333336"/>
    <n v="49333.333333333336"/>
    <m/>
  </r>
  <r>
    <x v="9"/>
    <x v="9"/>
    <x v="3"/>
    <x v="5"/>
    <x v="1"/>
    <x v="2"/>
    <n v="1"/>
    <n v="1"/>
    <n v="4"/>
    <n v="30"/>
    <n v="28"/>
    <n v="12000"/>
    <n v="400"/>
    <n v="1200"/>
    <n v="960"/>
    <n v="12400"/>
    <n v="11440"/>
    <m/>
  </r>
  <r>
    <x v="10"/>
    <x v="10"/>
    <x v="3"/>
    <x v="5"/>
    <x v="6"/>
    <x v="0"/>
    <n v="1"/>
    <n v="1"/>
    <n v="4"/>
    <n v="30"/>
    <n v="29"/>
    <n v="12000"/>
    <n v="400"/>
    <n v="1200"/>
    <n v="960"/>
    <n v="12800"/>
    <n v="11840"/>
    <m/>
  </r>
  <r>
    <x v="0"/>
    <x v="0"/>
    <x v="4"/>
    <x v="0"/>
    <x v="6"/>
    <x v="0"/>
    <n v="2"/>
    <n v="2"/>
    <n v="4"/>
    <n v="31"/>
    <n v="30"/>
    <n v="70000"/>
    <n v="2258.0645161290322"/>
    <n v="7000"/>
    <n v="5600"/>
    <n v="74741.93548387097"/>
    <n v="69141.93548387097"/>
    <m/>
  </r>
  <r>
    <x v="1"/>
    <x v="1"/>
    <x v="4"/>
    <x v="1"/>
    <x v="7"/>
    <x v="1"/>
    <n v="2"/>
    <n v="2"/>
    <n v="4"/>
    <n v="31"/>
    <n v="31"/>
    <n v="40000"/>
    <n v="1290.3225806451612"/>
    <n v="4000"/>
    <n v="3200"/>
    <n v="44000"/>
    <n v="40800"/>
    <m/>
  </r>
  <r>
    <x v="2"/>
    <x v="2"/>
    <x v="4"/>
    <x v="2"/>
    <x v="1"/>
    <x v="2"/>
    <n v="2"/>
    <n v="2"/>
    <n v="4"/>
    <n v="31"/>
    <n v="29"/>
    <n v="50000"/>
    <n v="1612.9032258064517"/>
    <n v="5000"/>
    <n v="4000"/>
    <n v="51774.193548387098"/>
    <n v="47774.193548387098"/>
    <m/>
  </r>
  <r>
    <x v="3"/>
    <x v="3"/>
    <x v="4"/>
    <x v="1"/>
    <x v="7"/>
    <x v="1"/>
    <n v="2"/>
    <n v="2"/>
    <n v="4"/>
    <n v="31"/>
    <n v="31"/>
    <n v="40000"/>
    <n v="1290.3225806451612"/>
    <n v="4000"/>
    <n v="3200"/>
    <n v="44000"/>
    <n v="40800"/>
    <m/>
  </r>
  <r>
    <x v="4"/>
    <x v="4"/>
    <x v="4"/>
    <x v="3"/>
    <x v="6"/>
    <x v="0"/>
    <n v="2"/>
    <n v="2"/>
    <n v="4"/>
    <n v="31"/>
    <n v="30"/>
    <n v="25000"/>
    <n v="806.45161290322585"/>
    <n v="2500"/>
    <n v="2000"/>
    <n v="26693.548387096776"/>
    <n v="24693.548387096776"/>
    <m/>
  </r>
  <r>
    <x v="5"/>
    <x v="5"/>
    <x v="4"/>
    <x v="3"/>
    <x v="6"/>
    <x v="0"/>
    <n v="2"/>
    <n v="2"/>
    <n v="4"/>
    <n v="31"/>
    <n v="30"/>
    <n v="25000"/>
    <n v="806.45161290322585"/>
    <n v="2500"/>
    <n v="2000"/>
    <n v="26693.548387096776"/>
    <n v="24693.548387096776"/>
    <m/>
  </r>
  <r>
    <x v="6"/>
    <x v="6"/>
    <x v="4"/>
    <x v="4"/>
    <x v="6"/>
    <x v="0"/>
    <n v="2"/>
    <n v="2"/>
    <n v="4"/>
    <n v="31"/>
    <n v="30"/>
    <n v="30000"/>
    <n v="967.74193548387098"/>
    <n v="3000"/>
    <n v="2400"/>
    <n v="32032.258064516129"/>
    <n v="29632.258064516129"/>
    <m/>
  </r>
  <r>
    <x v="7"/>
    <x v="7"/>
    <x v="4"/>
    <x v="0"/>
    <x v="6"/>
    <x v="0"/>
    <n v="2"/>
    <n v="2"/>
    <n v="4"/>
    <n v="31"/>
    <n v="30"/>
    <n v="70000"/>
    <n v="2258.0645161290322"/>
    <n v="7000"/>
    <n v="5600"/>
    <n v="74741.93548387097"/>
    <n v="69141.93548387097"/>
    <m/>
  </r>
  <r>
    <x v="8"/>
    <x v="8"/>
    <x v="4"/>
    <x v="2"/>
    <x v="6"/>
    <x v="0"/>
    <n v="2"/>
    <n v="2"/>
    <n v="4"/>
    <n v="31"/>
    <n v="30"/>
    <n v="50000"/>
    <n v="1612.9032258064517"/>
    <n v="5000"/>
    <n v="4000"/>
    <n v="53387.096774193553"/>
    <n v="49387.096774193553"/>
    <m/>
  </r>
  <r>
    <x v="9"/>
    <x v="9"/>
    <x v="4"/>
    <x v="5"/>
    <x v="6"/>
    <x v="0"/>
    <n v="2"/>
    <n v="2"/>
    <n v="4"/>
    <n v="31"/>
    <n v="30"/>
    <n v="12000"/>
    <n v="387.09677419354841"/>
    <n v="1200"/>
    <n v="960"/>
    <n v="12812.903225806453"/>
    <n v="11852.903225806453"/>
    <m/>
  </r>
  <r>
    <x v="10"/>
    <x v="10"/>
    <x v="4"/>
    <x v="5"/>
    <x v="6"/>
    <x v="0"/>
    <n v="2"/>
    <n v="2"/>
    <n v="4"/>
    <n v="31"/>
    <n v="30"/>
    <n v="12000"/>
    <n v="387.09677419354841"/>
    <n v="1200"/>
    <n v="960"/>
    <n v="12812.903225806453"/>
    <n v="11852.903225806453"/>
    <m/>
  </r>
  <r>
    <x v="0"/>
    <x v="0"/>
    <x v="5"/>
    <x v="0"/>
    <x v="1"/>
    <x v="0"/>
    <n v="1"/>
    <n v="1"/>
    <n v="5"/>
    <n v="30"/>
    <n v="29"/>
    <n v="70000"/>
    <n v="2333.3333333333335"/>
    <n v="7000"/>
    <n v="5600"/>
    <n v="74666.666666666672"/>
    <n v="69066.666666666672"/>
    <m/>
  </r>
  <r>
    <x v="1"/>
    <x v="1"/>
    <x v="5"/>
    <x v="1"/>
    <x v="1"/>
    <x v="0"/>
    <n v="1"/>
    <n v="1"/>
    <n v="5"/>
    <n v="30"/>
    <n v="29"/>
    <n v="40000"/>
    <n v="1333.3333333333333"/>
    <n v="4000"/>
    <n v="3200"/>
    <n v="42666.666666666664"/>
    <n v="39466.666666666664"/>
    <m/>
  </r>
  <r>
    <x v="2"/>
    <x v="2"/>
    <x v="5"/>
    <x v="2"/>
    <x v="1"/>
    <x v="0"/>
    <n v="1"/>
    <n v="1"/>
    <n v="5"/>
    <n v="30"/>
    <n v="29"/>
    <n v="50000"/>
    <n v="1666.6666666666667"/>
    <n v="5000"/>
    <n v="4000"/>
    <n v="53333.333333333336"/>
    <n v="49333.333333333336"/>
    <m/>
  </r>
  <r>
    <x v="3"/>
    <x v="3"/>
    <x v="5"/>
    <x v="1"/>
    <x v="1"/>
    <x v="0"/>
    <n v="1"/>
    <n v="1"/>
    <n v="5"/>
    <n v="30"/>
    <n v="29"/>
    <n v="40000"/>
    <n v="1333.3333333333333"/>
    <n v="4000"/>
    <n v="3200"/>
    <n v="42666.666666666664"/>
    <n v="39466.666666666664"/>
    <m/>
  </r>
  <r>
    <x v="4"/>
    <x v="4"/>
    <x v="5"/>
    <x v="3"/>
    <x v="1"/>
    <x v="0"/>
    <n v="1"/>
    <n v="1"/>
    <n v="5"/>
    <n v="30"/>
    <n v="29"/>
    <n v="25000"/>
    <n v="833.33333333333337"/>
    <n v="2500"/>
    <n v="2000"/>
    <n v="26666.666666666668"/>
    <n v="24666.666666666668"/>
    <m/>
  </r>
  <r>
    <x v="5"/>
    <x v="5"/>
    <x v="5"/>
    <x v="3"/>
    <x v="1"/>
    <x v="0"/>
    <n v="1"/>
    <n v="1"/>
    <n v="5"/>
    <n v="30"/>
    <n v="29"/>
    <n v="25000"/>
    <n v="833.33333333333337"/>
    <n v="2500"/>
    <n v="2000"/>
    <n v="26666.666666666668"/>
    <n v="24666.666666666668"/>
    <m/>
  </r>
  <r>
    <x v="6"/>
    <x v="6"/>
    <x v="5"/>
    <x v="4"/>
    <x v="6"/>
    <x v="1"/>
    <n v="1"/>
    <n v="1"/>
    <n v="5"/>
    <n v="30"/>
    <n v="30"/>
    <n v="30000"/>
    <n v="1000"/>
    <n v="3000"/>
    <n v="2400"/>
    <n v="33000"/>
    <n v="30600"/>
    <m/>
  </r>
  <r>
    <x v="7"/>
    <x v="7"/>
    <x v="5"/>
    <x v="0"/>
    <x v="1"/>
    <x v="0"/>
    <n v="1"/>
    <n v="1"/>
    <n v="5"/>
    <n v="30"/>
    <n v="29"/>
    <n v="70000"/>
    <n v="2333.3333333333335"/>
    <n v="7000"/>
    <n v="5600"/>
    <n v="74666.666666666672"/>
    <n v="69066.666666666672"/>
    <m/>
  </r>
  <r>
    <x v="8"/>
    <x v="8"/>
    <x v="5"/>
    <x v="2"/>
    <x v="1"/>
    <x v="0"/>
    <n v="1"/>
    <n v="1"/>
    <n v="5"/>
    <n v="30"/>
    <n v="29"/>
    <n v="50000"/>
    <n v="1666.6666666666667"/>
    <n v="5000"/>
    <n v="4000"/>
    <n v="53333.333333333336"/>
    <n v="49333.333333333336"/>
    <m/>
  </r>
  <r>
    <x v="9"/>
    <x v="9"/>
    <x v="5"/>
    <x v="5"/>
    <x v="1"/>
    <x v="0"/>
    <n v="1"/>
    <n v="1"/>
    <n v="5"/>
    <n v="30"/>
    <n v="29"/>
    <n v="12000"/>
    <n v="400"/>
    <n v="1200"/>
    <n v="960"/>
    <n v="12800"/>
    <n v="11840"/>
    <m/>
  </r>
  <r>
    <x v="10"/>
    <x v="10"/>
    <x v="5"/>
    <x v="5"/>
    <x v="6"/>
    <x v="1"/>
    <n v="1"/>
    <n v="1"/>
    <n v="5"/>
    <n v="30"/>
    <n v="30"/>
    <n v="12000"/>
    <n v="400"/>
    <n v="1200"/>
    <n v="960"/>
    <n v="13200"/>
    <n v="12240"/>
    <m/>
  </r>
  <r>
    <x v="0"/>
    <x v="0"/>
    <x v="6"/>
    <x v="0"/>
    <x v="8"/>
    <x v="0"/>
    <n v="0"/>
    <n v="0"/>
    <n v="4"/>
    <n v="31"/>
    <n v="30"/>
    <n v="70000"/>
    <n v="2258.0645161290322"/>
    <n v="7000"/>
    <n v="5600"/>
    <n v="74741.93548387097"/>
    <n v="69141.93548387097"/>
    <m/>
  </r>
  <r>
    <x v="1"/>
    <x v="1"/>
    <x v="6"/>
    <x v="1"/>
    <x v="8"/>
    <x v="0"/>
    <n v="0"/>
    <n v="0"/>
    <n v="4"/>
    <n v="31"/>
    <n v="30"/>
    <n v="40000"/>
    <n v="1290.3225806451612"/>
    <n v="4000"/>
    <n v="3200"/>
    <n v="42709.677419354834"/>
    <n v="39509.677419354834"/>
    <m/>
  </r>
  <r>
    <x v="2"/>
    <x v="2"/>
    <x v="6"/>
    <x v="2"/>
    <x v="7"/>
    <x v="2"/>
    <n v="0"/>
    <n v="0"/>
    <n v="4"/>
    <n v="31"/>
    <n v="29"/>
    <n v="50000"/>
    <n v="1612.9032258064517"/>
    <n v="5000"/>
    <n v="4000"/>
    <n v="51774.193548387098"/>
    <n v="47774.193548387098"/>
    <m/>
  </r>
  <r>
    <x v="3"/>
    <x v="3"/>
    <x v="6"/>
    <x v="1"/>
    <x v="9"/>
    <x v="1"/>
    <n v="0"/>
    <n v="0"/>
    <n v="4"/>
    <n v="31"/>
    <n v="31"/>
    <n v="40000"/>
    <n v="1290.3225806451612"/>
    <n v="4000"/>
    <n v="3200"/>
    <n v="44000"/>
    <n v="40800"/>
    <m/>
  </r>
  <r>
    <x v="4"/>
    <x v="4"/>
    <x v="6"/>
    <x v="3"/>
    <x v="8"/>
    <x v="0"/>
    <n v="0"/>
    <n v="0"/>
    <n v="4"/>
    <n v="31"/>
    <n v="30"/>
    <n v="25000"/>
    <n v="806.45161290322585"/>
    <n v="2500"/>
    <n v="2000"/>
    <n v="26693.548387096776"/>
    <n v="24693.548387096776"/>
    <m/>
  </r>
  <r>
    <x v="5"/>
    <x v="5"/>
    <x v="6"/>
    <x v="3"/>
    <x v="7"/>
    <x v="2"/>
    <n v="0"/>
    <n v="0"/>
    <n v="4"/>
    <n v="31"/>
    <n v="29"/>
    <n v="25000"/>
    <n v="806.45161290322585"/>
    <n v="2500"/>
    <n v="2000"/>
    <n v="25887.096774193549"/>
    <n v="23887.096774193549"/>
    <m/>
  </r>
  <r>
    <x v="6"/>
    <x v="6"/>
    <x v="6"/>
    <x v="4"/>
    <x v="9"/>
    <x v="1"/>
    <n v="0"/>
    <n v="0"/>
    <n v="4"/>
    <n v="31"/>
    <n v="31"/>
    <n v="30000"/>
    <n v="967.74193548387098"/>
    <n v="3000"/>
    <n v="2400"/>
    <n v="33000"/>
    <n v="30600"/>
    <m/>
  </r>
  <r>
    <x v="7"/>
    <x v="7"/>
    <x v="6"/>
    <x v="0"/>
    <x v="8"/>
    <x v="0"/>
    <n v="0"/>
    <n v="0"/>
    <n v="4"/>
    <n v="31"/>
    <n v="30"/>
    <n v="70000"/>
    <n v="2258.0645161290322"/>
    <n v="7000"/>
    <n v="5600"/>
    <n v="74741.93548387097"/>
    <n v="69141.93548387097"/>
    <m/>
  </r>
  <r>
    <x v="8"/>
    <x v="8"/>
    <x v="6"/>
    <x v="2"/>
    <x v="8"/>
    <x v="0"/>
    <n v="0"/>
    <n v="0"/>
    <n v="4"/>
    <n v="31"/>
    <n v="30"/>
    <n v="50000"/>
    <n v="1612.9032258064517"/>
    <n v="5000"/>
    <n v="4000"/>
    <n v="53387.096774193553"/>
    <n v="49387.096774193553"/>
    <m/>
  </r>
  <r>
    <x v="9"/>
    <x v="9"/>
    <x v="6"/>
    <x v="5"/>
    <x v="8"/>
    <x v="0"/>
    <n v="0"/>
    <n v="0"/>
    <n v="4"/>
    <n v="31"/>
    <n v="30"/>
    <n v="12000"/>
    <n v="387.09677419354841"/>
    <n v="1200"/>
    <n v="960"/>
    <n v="12812.903225806453"/>
    <n v="11852.903225806453"/>
    <m/>
  </r>
  <r>
    <x v="10"/>
    <x v="10"/>
    <x v="6"/>
    <x v="5"/>
    <x v="8"/>
    <x v="0"/>
    <n v="0"/>
    <n v="0"/>
    <n v="4"/>
    <n v="31"/>
    <n v="30"/>
    <n v="12000"/>
    <n v="387.09677419354841"/>
    <n v="1200"/>
    <n v="960"/>
    <n v="12812.903225806453"/>
    <n v="11852.903225806453"/>
    <m/>
  </r>
  <r>
    <x v="0"/>
    <x v="0"/>
    <x v="7"/>
    <x v="0"/>
    <x v="1"/>
    <x v="0"/>
    <n v="2"/>
    <n v="2"/>
    <n v="5"/>
    <n v="31"/>
    <n v="30"/>
    <n v="70000"/>
    <n v="2258.0645161290322"/>
    <n v="7000"/>
    <n v="5600"/>
    <n v="74741.93548387097"/>
    <n v="69141.93548387097"/>
    <m/>
  </r>
  <r>
    <x v="1"/>
    <x v="1"/>
    <x v="7"/>
    <x v="1"/>
    <x v="1"/>
    <x v="0"/>
    <n v="2"/>
    <n v="2"/>
    <n v="5"/>
    <n v="31"/>
    <n v="30"/>
    <n v="40000"/>
    <n v="1290.3225806451612"/>
    <n v="4000"/>
    <n v="3200"/>
    <n v="42709.677419354834"/>
    <n v="39509.677419354834"/>
    <m/>
  </r>
  <r>
    <x v="2"/>
    <x v="2"/>
    <x v="7"/>
    <x v="2"/>
    <x v="1"/>
    <x v="0"/>
    <n v="2"/>
    <n v="2"/>
    <n v="5"/>
    <n v="31"/>
    <n v="30"/>
    <n v="50000"/>
    <n v="1612.9032258064517"/>
    <n v="5000"/>
    <n v="4000"/>
    <n v="53387.096774193553"/>
    <n v="49387.096774193553"/>
    <m/>
  </r>
  <r>
    <x v="3"/>
    <x v="3"/>
    <x v="7"/>
    <x v="1"/>
    <x v="1"/>
    <x v="0"/>
    <n v="2"/>
    <n v="2"/>
    <n v="5"/>
    <n v="31"/>
    <n v="30"/>
    <n v="40000"/>
    <n v="1290.3225806451612"/>
    <n v="4000"/>
    <n v="3200"/>
    <n v="42709.677419354834"/>
    <n v="39509.677419354834"/>
    <m/>
  </r>
  <r>
    <x v="4"/>
    <x v="4"/>
    <x v="7"/>
    <x v="3"/>
    <x v="1"/>
    <x v="0"/>
    <n v="2"/>
    <n v="2"/>
    <n v="5"/>
    <n v="31"/>
    <n v="30"/>
    <n v="25000"/>
    <n v="806.45161290322585"/>
    <n v="2500"/>
    <n v="2000"/>
    <n v="26693.548387096776"/>
    <n v="24693.548387096776"/>
    <m/>
  </r>
  <r>
    <x v="5"/>
    <x v="5"/>
    <x v="7"/>
    <x v="3"/>
    <x v="1"/>
    <x v="0"/>
    <n v="2"/>
    <n v="2"/>
    <n v="5"/>
    <n v="31"/>
    <n v="30"/>
    <n v="25000"/>
    <n v="806.45161290322585"/>
    <n v="2500"/>
    <n v="2000"/>
    <n v="26693.548387096776"/>
    <n v="24693.548387096776"/>
    <m/>
  </r>
  <r>
    <x v="6"/>
    <x v="6"/>
    <x v="7"/>
    <x v="4"/>
    <x v="1"/>
    <x v="0"/>
    <n v="2"/>
    <n v="2"/>
    <n v="5"/>
    <n v="31"/>
    <n v="30"/>
    <n v="30000"/>
    <n v="967.74193548387098"/>
    <n v="3000"/>
    <n v="2400"/>
    <n v="32032.258064516129"/>
    <n v="29632.258064516129"/>
    <m/>
  </r>
  <r>
    <x v="7"/>
    <x v="7"/>
    <x v="7"/>
    <x v="0"/>
    <x v="1"/>
    <x v="0"/>
    <n v="2"/>
    <n v="2"/>
    <n v="5"/>
    <n v="31"/>
    <n v="30"/>
    <n v="70000"/>
    <n v="2258.0645161290322"/>
    <n v="7000"/>
    <n v="5600"/>
    <n v="74741.93548387097"/>
    <n v="69141.93548387097"/>
    <m/>
  </r>
  <r>
    <x v="8"/>
    <x v="8"/>
    <x v="7"/>
    <x v="2"/>
    <x v="1"/>
    <x v="0"/>
    <n v="2"/>
    <n v="2"/>
    <n v="5"/>
    <n v="31"/>
    <n v="30"/>
    <n v="50000"/>
    <n v="1612.9032258064517"/>
    <n v="5000"/>
    <n v="4000"/>
    <n v="53387.096774193553"/>
    <n v="49387.096774193553"/>
    <m/>
  </r>
  <r>
    <x v="9"/>
    <x v="9"/>
    <x v="7"/>
    <x v="5"/>
    <x v="1"/>
    <x v="0"/>
    <n v="2"/>
    <n v="2"/>
    <n v="5"/>
    <n v="31"/>
    <n v="30"/>
    <n v="12000"/>
    <n v="387.09677419354841"/>
    <n v="1200"/>
    <n v="960"/>
    <n v="12812.903225806453"/>
    <n v="11852.903225806453"/>
    <m/>
  </r>
  <r>
    <x v="10"/>
    <x v="10"/>
    <x v="7"/>
    <x v="5"/>
    <x v="1"/>
    <x v="0"/>
    <n v="2"/>
    <n v="2"/>
    <n v="5"/>
    <n v="31"/>
    <n v="30"/>
    <n v="12000"/>
    <n v="387.09677419354841"/>
    <n v="1200"/>
    <n v="960"/>
    <n v="12812.903225806453"/>
    <n v="11852.903225806453"/>
    <m/>
  </r>
  <r>
    <x v="0"/>
    <x v="0"/>
    <x v="8"/>
    <x v="0"/>
    <x v="6"/>
    <x v="0"/>
    <n v="1"/>
    <n v="1"/>
    <n v="4"/>
    <n v="30"/>
    <n v="29"/>
    <n v="70000"/>
    <n v="2333.3333333333335"/>
    <n v="7000"/>
    <n v="5600"/>
    <n v="74666.666666666672"/>
    <n v="69066.666666666672"/>
    <m/>
  </r>
  <r>
    <x v="1"/>
    <x v="1"/>
    <x v="8"/>
    <x v="1"/>
    <x v="7"/>
    <x v="1"/>
    <n v="1"/>
    <n v="1"/>
    <n v="4"/>
    <n v="30"/>
    <n v="30"/>
    <n v="40000"/>
    <n v="1333.3333333333333"/>
    <n v="4000"/>
    <n v="3200"/>
    <n v="44000"/>
    <n v="40800"/>
    <m/>
  </r>
  <r>
    <x v="2"/>
    <x v="2"/>
    <x v="8"/>
    <x v="2"/>
    <x v="6"/>
    <x v="0"/>
    <n v="1"/>
    <n v="1"/>
    <n v="4"/>
    <n v="30"/>
    <n v="29"/>
    <n v="50000"/>
    <n v="1666.6666666666667"/>
    <n v="5000"/>
    <n v="4000"/>
    <n v="53333.333333333336"/>
    <n v="49333.333333333336"/>
    <m/>
  </r>
  <r>
    <x v="3"/>
    <x v="3"/>
    <x v="8"/>
    <x v="1"/>
    <x v="7"/>
    <x v="1"/>
    <n v="1"/>
    <n v="1"/>
    <n v="4"/>
    <n v="30"/>
    <n v="30"/>
    <n v="40000"/>
    <n v="1333.3333333333333"/>
    <n v="4000"/>
    <n v="3200"/>
    <n v="44000"/>
    <n v="40800"/>
    <m/>
  </r>
  <r>
    <x v="4"/>
    <x v="4"/>
    <x v="8"/>
    <x v="3"/>
    <x v="6"/>
    <x v="0"/>
    <n v="1"/>
    <n v="1"/>
    <n v="4"/>
    <n v="30"/>
    <n v="29"/>
    <n v="25000"/>
    <n v="833.33333333333337"/>
    <n v="2500"/>
    <n v="2000"/>
    <n v="26666.666666666668"/>
    <n v="24666.666666666668"/>
    <m/>
  </r>
  <r>
    <x v="5"/>
    <x v="5"/>
    <x v="8"/>
    <x v="3"/>
    <x v="6"/>
    <x v="0"/>
    <n v="1"/>
    <n v="1"/>
    <n v="4"/>
    <n v="30"/>
    <n v="29"/>
    <n v="25000"/>
    <n v="833.33333333333337"/>
    <n v="2500"/>
    <n v="2000"/>
    <n v="26666.666666666668"/>
    <n v="24666.666666666668"/>
    <m/>
  </r>
  <r>
    <x v="6"/>
    <x v="6"/>
    <x v="8"/>
    <x v="4"/>
    <x v="6"/>
    <x v="0"/>
    <n v="1"/>
    <n v="1"/>
    <n v="4"/>
    <n v="30"/>
    <n v="29"/>
    <n v="30000"/>
    <n v="1000"/>
    <n v="3000"/>
    <n v="2400"/>
    <n v="32000"/>
    <n v="29600"/>
    <m/>
  </r>
  <r>
    <x v="7"/>
    <x v="7"/>
    <x v="8"/>
    <x v="0"/>
    <x v="1"/>
    <x v="2"/>
    <n v="1"/>
    <n v="1"/>
    <n v="4"/>
    <n v="30"/>
    <n v="28"/>
    <n v="70000"/>
    <n v="2333.3333333333335"/>
    <n v="7000"/>
    <n v="5600"/>
    <n v="72333.333333333343"/>
    <n v="66733.333333333343"/>
    <m/>
  </r>
  <r>
    <x v="8"/>
    <x v="8"/>
    <x v="8"/>
    <x v="2"/>
    <x v="7"/>
    <x v="1"/>
    <n v="1"/>
    <n v="1"/>
    <n v="4"/>
    <n v="30"/>
    <n v="30"/>
    <n v="50000"/>
    <n v="1666.6666666666667"/>
    <n v="5000"/>
    <n v="4000"/>
    <n v="55000"/>
    <n v="51000"/>
    <m/>
  </r>
  <r>
    <x v="9"/>
    <x v="9"/>
    <x v="8"/>
    <x v="5"/>
    <x v="6"/>
    <x v="0"/>
    <n v="1"/>
    <n v="1"/>
    <n v="4"/>
    <n v="30"/>
    <n v="29"/>
    <n v="12000"/>
    <n v="400"/>
    <n v="1200"/>
    <n v="960"/>
    <n v="12800"/>
    <n v="11840"/>
    <m/>
  </r>
  <r>
    <x v="10"/>
    <x v="10"/>
    <x v="8"/>
    <x v="5"/>
    <x v="6"/>
    <x v="0"/>
    <n v="1"/>
    <n v="1"/>
    <n v="4"/>
    <n v="30"/>
    <n v="29"/>
    <n v="12000"/>
    <n v="400"/>
    <n v="1200"/>
    <n v="960"/>
    <n v="12800"/>
    <n v="11840"/>
    <m/>
  </r>
  <r>
    <x v="0"/>
    <x v="0"/>
    <x v="9"/>
    <x v="0"/>
    <x v="0"/>
    <x v="0"/>
    <n v="4"/>
    <n v="2"/>
    <n v="4"/>
    <n v="31"/>
    <n v="30"/>
    <n v="70000"/>
    <n v="2258.0645161290322"/>
    <n v="7000"/>
    <n v="5600"/>
    <n v="74741.93548387097"/>
    <n v="69141.93548387097"/>
    <m/>
  </r>
  <r>
    <x v="1"/>
    <x v="1"/>
    <x v="9"/>
    <x v="1"/>
    <x v="1"/>
    <x v="1"/>
    <n v="4"/>
    <n v="2"/>
    <n v="4"/>
    <n v="31"/>
    <n v="31"/>
    <n v="40000"/>
    <n v="1290.3225806451612"/>
    <n v="4000"/>
    <n v="3200"/>
    <n v="44000"/>
    <n v="40800"/>
    <m/>
  </r>
  <r>
    <x v="2"/>
    <x v="2"/>
    <x v="9"/>
    <x v="2"/>
    <x v="2"/>
    <x v="2"/>
    <n v="4"/>
    <n v="2"/>
    <n v="4"/>
    <n v="31"/>
    <n v="29"/>
    <n v="50000"/>
    <n v="1612.9032258064517"/>
    <n v="5000"/>
    <n v="4000"/>
    <n v="51774.193548387098"/>
    <n v="47774.193548387098"/>
    <m/>
  </r>
  <r>
    <x v="3"/>
    <x v="3"/>
    <x v="9"/>
    <x v="1"/>
    <x v="1"/>
    <x v="1"/>
    <n v="4"/>
    <n v="2"/>
    <n v="4"/>
    <n v="31"/>
    <n v="31"/>
    <n v="40000"/>
    <n v="1290.3225806451612"/>
    <n v="4000"/>
    <n v="3200"/>
    <n v="44000"/>
    <n v="40800"/>
    <m/>
  </r>
  <r>
    <x v="4"/>
    <x v="4"/>
    <x v="9"/>
    <x v="3"/>
    <x v="0"/>
    <x v="0"/>
    <n v="4"/>
    <n v="2"/>
    <n v="4"/>
    <n v="31"/>
    <n v="30"/>
    <n v="25000"/>
    <n v="806.45161290322585"/>
    <n v="2500"/>
    <n v="2000"/>
    <n v="26693.548387096776"/>
    <n v="24693.548387096776"/>
    <m/>
  </r>
  <r>
    <x v="5"/>
    <x v="5"/>
    <x v="9"/>
    <x v="3"/>
    <x v="0"/>
    <x v="0"/>
    <n v="4"/>
    <n v="2"/>
    <n v="4"/>
    <n v="31"/>
    <n v="30"/>
    <n v="25000"/>
    <n v="806.45161290322585"/>
    <n v="2500"/>
    <n v="2000"/>
    <n v="26693.548387096776"/>
    <n v="24693.548387096776"/>
    <m/>
  </r>
  <r>
    <x v="6"/>
    <x v="6"/>
    <x v="9"/>
    <x v="4"/>
    <x v="0"/>
    <x v="0"/>
    <n v="4"/>
    <n v="2"/>
    <n v="4"/>
    <n v="31"/>
    <n v="30"/>
    <n v="30000"/>
    <n v="967.74193548387098"/>
    <n v="3000"/>
    <n v="2400"/>
    <n v="32032.258064516129"/>
    <n v="29632.258064516129"/>
    <m/>
  </r>
  <r>
    <x v="7"/>
    <x v="7"/>
    <x v="9"/>
    <x v="0"/>
    <x v="1"/>
    <x v="1"/>
    <n v="4"/>
    <n v="2"/>
    <n v="4"/>
    <n v="31"/>
    <n v="31"/>
    <n v="70000"/>
    <n v="2258.0645161290322"/>
    <n v="7000"/>
    <n v="5600"/>
    <n v="77000"/>
    <n v="71400"/>
    <m/>
  </r>
  <r>
    <x v="8"/>
    <x v="8"/>
    <x v="9"/>
    <x v="2"/>
    <x v="0"/>
    <x v="0"/>
    <n v="4"/>
    <n v="2"/>
    <n v="4"/>
    <n v="31"/>
    <n v="30"/>
    <n v="50000"/>
    <n v="1612.9032258064517"/>
    <n v="5000"/>
    <n v="4000"/>
    <n v="53387.096774193553"/>
    <n v="49387.096774193553"/>
    <m/>
  </r>
  <r>
    <x v="9"/>
    <x v="9"/>
    <x v="9"/>
    <x v="5"/>
    <x v="0"/>
    <x v="0"/>
    <n v="4"/>
    <n v="2"/>
    <n v="4"/>
    <n v="31"/>
    <n v="30"/>
    <n v="12000"/>
    <n v="387.09677419354841"/>
    <n v="1200"/>
    <n v="960"/>
    <n v="12812.903225806453"/>
    <n v="11852.903225806453"/>
    <m/>
  </r>
  <r>
    <x v="10"/>
    <x v="10"/>
    <x v="9"/>
    <x v="5"/>
    <x v="0"/>
    <x v="0"/>
    <n v="4"/>
    <n v="2"/>
    <n v="4"/>
    <n v="31"/>
    <n v="30"/>
    <n v="12000"/>
    <n v="387.09677419354841"/>
    <n v="1200"/>
    <n v="960"/>
    <n v="12812.903225806453"/>
    <n v="11852.903225806453"/>
    <m/>
  </r>
  <r>
    <x v="0"/>
    <x v="0"/>
    <x v="10"/>
    <x v="0"/>
    <x v="0"/>
    <x v="0"/>
    <n v="2"/>
    <n v="2"/>
    <n v="5"/>
    <n v="30"/>
    <n v="29"/>
    <n v="70000"/>
    <n v="2333.3333333333335"/>
    <n v="7000"/>
    <n v="5600"/>
    <n v="74666.666666666672"/>
    <n v="69066.666666666672"/>
    <m/>
  </r>
  <r>
    <x v="1"/>
    <x v="1"/>
    <x v="10"/>
    <x v="1"/>
    <x v="0"/>
    <x v="0"/>
    <n v="2"/>
    <n v="2"/>
    <n v="5"/>
    <n v="30"/>
    <n v="29"/>
    <n v="40000"/>
    <n v="1333.3333333333333"/>
    <n v="4000"/>
    <n v="3200"/>
    <n v="42666.666666666664"/>
    <n v="39466.666666666664"/>
    <m/>
  </r>
  <r>
    <x v="2"/>
    <x v="2"/>
    <x v="10"/>
    <x v="2"/>
    <x v="0"/>
    <x v="0"/>
    <n v="2"/>
    <n v="2"/>
    <n v="5"/>
    <n v="30"/>
    <n v="29"/>
    <n v="50000"/>
    <n v="1666.6666666666667"/>
    <n v="5000"/>
    <n v="4000"/>
    <n v="53333.333333333336"/>
    <n v="49333.333333333336"/>
    <m/>
  </r>
  <r>
    <x v="3"/>
    <x v="3"/>
    <x v="10"/>
    <x v="1"/>
    <x v="0"/>
    <x v="0"/>
    <n v="2"/>
    <n v="2"/>
    <n v="5"/>
    <n v="30"/>
    <n v="29"/>
    <n v="40000"/>
    <n v="1333.3333333333333"/>
    <n v="4000"/>
    <n v="3200"/>
    <n v="42666.666666666664"/>
    <n v="39466.666666666664"/>
    <m/>
  </r>
  <r>
    <x v="4"/>
    <x v="4"/>
    <x v="10"/>
    <x v="3"/>
    <x v="0"/>
    <x v="0"/>
    <n v="2"/>
    <n v="2"/>
    <n v="5"/>
    <n v="30"/>
    <n v="29"/>
    <n v="25000"/>
    <n v="833.33333333333337"/>
    <n v="2500"/>
    <n v="2000"/>
    <n v="26666.666666666668"/>
    <n v="24666.666666666668"/>
    <m/>
  </r>
  <r>
    <x v="5"/>
    <x v="5"/>
    <x v="10"/>
    <x v="3"/>
    <x v="0"/>
    <x v="0"/>
    <n v="2"/>
    <n v="2"/>
    <n v="5"/>
    <n v="30"/>
    <n v="29"/>
    <n v="25000"/>
    <n v="833.33333333333337"/>
    <n v="2500"/>
    <n v="2000"/>
    <n v="26666.666666666668"/>
    <n v="24666.666666666668"/>
    <m/>
  </r>
  <r>
    <x v="6"/>
    <x v="6"/>
    <x v="10"/>
    <x v="4"/>
    <x v="2"/>
    <x v="2"/>
    <n v="2"/>
    <n v="2"/>
    <n v="5"/>
    <n v="30"/>
    <n v="28"/>
    <n v="30000"/>
    <n v="1000"/>
    <n v="3000"/>
    <n v="2400"/>
    <n v="31000"/>
    <n v="28600"/>
    <m/>
  </r>
  <r>
    <x v="7"/>
    <x v="7"/>
    <x v="10"/>
    <x v="0"/>
    <x v="0"/>
    <x v="0"/>
    <n v="2"/>
    <n v="2"/>
    <n v="5"/>
    <n v="30"/>
    <n v="29"/>
    <n v="70000"/>
    <n v="2333.3333333333335"/>
    <n v="7000"/>
    <n v="5600"/>
    <n v="74666.666666666672"/>
    <n v="69066.666666666672"/>
    <m/>
  </r>
  <r>
    <x v="8"/>
    <x v="8"/>
    <x v="10"/>
    <x v="2"/>
    <x v="0"/>
    <x v="0"/>
    <n v="2"/>
    <n v="2"/>
    <n v="5"/>
    <n v="30"/>
    <n v="29"/>
    <n v="50000"/>
    <n v="1666.6666666666667"/>
    <n v="5000"/>
    <n v="4000"/>
    <n v="53333.333333333336"/>
    <n v="49333.333333333336"/>
    <m/>
  </r>
  <r>
    <x v="9"/>
    <x v="9"/>
    <x v="10"/>
    <x v="5"/>
    <x v="0"/>
    <x v="0"/>
    <n v="2"/>
    <n v="2"/>
    <n v="5"/>
    <n v="30"/>
    <n v="29"/>
    <n v="12000"/>
    <n v="400"/>
    <n v="1200"/>
    <n v="960"/>
    <n v="12800"/>
    <n v="11840"/>
    <m/>
  </r>
  <r>
    <x v="10"/>
    <x v="10"/>
    <x v="10"/>
    <x v="5"/>
    <x v="0"/>
    <x v="0"/>
    <n v="2"/>
    <n v="2"/>
    <n v="5"/>
    <n v="30"/>
    <n v="29"/>
    <n v="12000"/>
    <n v="400"/>
    <n v="1200"/>
    <n v="960"/>
    <n v="12800"/>
    <n v="11840"/>
    <m/>
  </r>
  <r>
    <x v="0"/>
    <x v="0"/>
    <x v="11"/>
    <x v="0"/>
    <x v="1"/>
    <x v="2"/>
    <n v="2"/>
    <n v="1"/>
    <n v="4"/>
    <n v="31"/>
    <n v="29"/>
    <n v="70000"/>
    <n v="2258.0645161290322"/>
    <n v="7000"/>
    <n v="5600"/>
    <n v="72483.870967741939"/>
    <n v="66883.870967741939"/>
    <m/>
  </r>
  <r>
    <x v="1"/>
    <x v="1"/>
    <x v="11"/>
    <x v="1"/>
    <x v="1"/>
    <x v="2"/>
    <n v="2"/>
    <n v="1"/>
    <n v="4"/>
    <n v="31"/>
    <n v="29"/>
    <n v="40000"/>
    <n v="1290.3225806451612"/>
    <n v="4000"/>
    <n v="3200"/>
    <n v="41419.354838709674"/>
    <n v="38219.354838709674"/>
    <m/>
  </r>
  <r>
    <x v="2"/>
    <x v="2"/>
    <x v="11"/>
    <x v="2"/>
    <x v="6"/>
    <x v="0"/>
    <n v="2"/>
    <n v="1"/>
    <n v="4"/>
    <n v="31"/>
    <n v="30"/>
    <n v="50000"/>
    <n v="1612.9032258064517"/>
    <n v="5000"/>
    <n v="4000"/>
    <n v="53387.096774193553"/>
    <n v="49387.096774193553"/>
    <m/>
  </r>
  <r>
    <x v="3"/>
    <x v="3"/>
    <x v="11"/>
    <x v="1"/>
    <x v="7"/>
    <x v="1"/>
    <n v="2"/>
    <n v="1"/>
    <n v="4"/>
    <n v="31"/>
    <n v="31"/>
    <n v="40000"/>
    <n v="1290.3225806451612"/>
    <n v="4000"/>
    <n v="3200"/>
    <n v="44000"/>
    <n v="40800"/>
    <m/>
  </r>
  <r>
    <x v="4"/>
    <x v="4"/>
    <x v="11"/>
    <x v="3"/>
    <x v="6"/>
    <x v="0"/>
    <n v="2"/>
    <n v="1"/>
    <n v="4"/>
    <n v="31"/>
    <n v="30"/>
    <n v="25000"/>
    <n v="806.45161290322585"/>
    <n v="2500"/>
    <n v="2000"/>
    <n v="26693.548387096776"/>
    <n v="24693.548387096776"/>
    <m/>
  </r>
  <r>
    <x v="5"/>
    <x v="5"/>
    <x v="11"/>
    <x v="3"/>
    <x v="6"/>
    <x v="0"/>
    <n v="2"/>
    <n v="1"/>
    <n v="4"/>
    <n v="31"/>
    <n v="30"/>
    <n v="25000"/>
    <n v="806.45161290322585"/>
    <n v="2500"/>
    <n v="2000"/>
    <n v="26693.548387096776"/>
    <n v="24693.548387096776"/>
    <m/>
  </r>
  <r>
    <x v="6"/>
    <x v="6"/>
    <x v="11"/>
    <x v="4"/>
    <x v="6"/>
    <x v="0"/>
    <n v="2"/>
    <n v="1"/>
    <n v="4"/>
    <n v="31"/>
    <n v="30"/>
    <n v="30000"/>
    <n v="967.74193548387098"/>
    <n v="3000"/>
    <n v="2400"/>
    <n v="32032.258064516129"/>
    <n v="29632.258064516129"/>
    <m/>
  </r>
  <r>
    <x v="7"/>
    <x v="7"/>
    <x v="11"/>
    <x v="0"/>
    <x v="1"/>
    <x v="2"/>
    <n v="2"/>
    <n v="1"/>
    <n v="4"/>
    <n v="31"/>
    <n v="29"/>
    <n v="70000"/>
    <n v="2258.0645161290322"/>
    <n v="7000"/>
    <n v="5600"/>
    <n v="72483.870967741939"/>
    <n v="66883.870967741939"/>
    <m/>
  </r>
  <r>
    <x v="8"/>
    <x v="8"/>
    <x v="11"/>
    <x v="2"/>
    <x v="6"/>
    <x v="0"/>
    <n v="2"/>
    <n v="1"/>
    <n v="4"/>
    <n v="31"/>
    <n v="30"/>
    <n v="50000"/>
    <n v="1612.9032258064517"/>
    <n v="5000"/>
    <n v="4000"/>
    <n v="53387.096774193553"/>
    <n v="49387.096774193553"/>
    <m/>
  </r>
  <r>
    <x v="9"/>
    <x v="9"/>
    <x v="11"/>
    <x v="5"/>
    <x v="6"/>
    <x v="0"/>
    <n v="2"/>
    <n v="1"/>
    <n v="4"/>
    <n v="31"/>
    <n v="30"/>
    <n v="12000"/>
    <n v="387.09677419354841"/>
    <n v="1200"/>
    <n v="960"/>
    <n v="12812.903225806453"/>
    <n v="11852.903225806453"/>
    <m/>
  </r>
  <r>
    <x v="10"/>
    <x v="10"/>
    <x v="11"/>
    <x v="5"/>
    <x v="1"/>
    <x v="2"/>
    <n v="2"/>
    <n v="1"/>
    <n v="4"/>
    <n v="31"/>
    <n v="29"/>
    <n v="12000"/>
    <n v="387.09677419354841"/>
    <n v="1200"/>
    <n v="960"/>
    <n v="12425.806451612903"/>
    <n v="11465.80645161290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B9F161-9FEE-4168-90AE-FABFCBFFBA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3:J36" firstHeaderRow="0"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items count="7">
        <item x="4"/>
        <item x="3"/>
        <item x="2"/>
        <item x="0"/>
        <item x="5"/>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Days in Month" fld="9" baseField="0" baseItem="0"/>
    <dataField name="Count of Total Days in Month2" fld="9"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8C074-DE83-48CF-98F1-0A8528BEB31C}" name="Total Workday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T68:W80" firstHeaderRow="0"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Fields count="1">
    <field x="-2"/>
  </colFields>
  <colItems count="3">
    <i>
      <x/>
    </i>
    <i i="1">
      <x v="1"/>
    </i>
    <i i="2">
      <x v="2"/>
    </i>
  </colItems>
  <dataFields count="3">
    <dataField name="Sum of Total Days in Month" fld="9" baseField="0" baseItem="0"/>
    <dataField name="Sum of Week off" fld="8" baseField="0" baseItem="0"/>
    <dataField name="Sum of Leav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40BBA-48B9-4EE6-BC4B-A45C9CDD3EF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4:AB56" firstHeaderRow="0" firstDataRow="1" firstDataCol="1"/>
  <pivotFields count="20">
    <pivotField axis="axisRow" showAll="0">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items count="7">
        <item x="4"/>
        <item x="3"/>
        <item x="2"/>
        <item x="0"/>
        <item x="5"/>
        <item x="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Average of Presence" fld="4" subtotal="average" baseField="0" baseItem="0"/>
    <dataField name="Average of Absenc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23B21-7FDA-4BB4-A884-63704EE9BEBA}" name="Emp_Sa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2:P13" firstHeaderRow="0" firstDataRow="1" firstDataCol="1"/>
  <pivotFields count="20">
    <pivotField showAll="0">
      <items count="12">
        <item x="0"/>
        <item x="1"/>
        <item x="2"/>
        <item x="3"/>
        <item x="4"/>
        <item x="5"/>
        <item x="6"/>
        <item x="7"/>
        <item x="8"/>
        <item x="9"/>
        <item x="10"/>
        <item t="default"/>
      </items>
    </pivotField>
    <pivotField axis="axisRow" showAll="0">
      <items count="12">
        <item x="3"/>
        <item x="0"/>
        <item x="8"/>
        <item x="9"/>
        <item x="4"/>
        <item x="2"/>
        <item x="1"/>
        <item x="6"/>
        <item x="5"/>
        <item x="7"/>
        <item x="10"/>
        <item t="default"/>
      </items>
    </pivotField>
    <pivotField showAll="0">
      <items count="13">
        <item x="0"/>
        <item x="1"/>
        <item x="2"/>
        <item x="3"/>
        <item x="4"/>
        <item x="5"/>
        <item x="6"/>
        <item x="7"/>
        <item x="8"/>
        <item x="9"/>
        <item x="10"/>
        <item x="11"/>
        <item t="default"/>
      </items>
    </pivotField>
    <pivotField showAll="0">
      <items count="7">
        <item x="4"/>
        <item x="3"/>
        <item x="2"/>
        <item x="0"/>
        <item x="5"/>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x v="10"/>
    </i>
  </rowItems>
  <colFields count="1">
    <field x="-2"/>
  </colFields>
  <colItems count="7">
    <i>
      <x/>
    </i>
    <i i="1">
      <x v="1"/>
    </i>
    <i i="2">
      <x v="2"/>
    </i>
    <i i="3">
      <x v="3"/>
    </i>
    <i i="4">
      <x v="4"/>
    </i>
    <i i="5">
      <x v="5"/>
    </i>
    <i i="6">
      <x v="6"/>
    </i>
  </colItems>
  <dataFields count="7">
    <dataField name="Sum of Total Payable Days" fld="10" baseField="0" baseItem="0"/>
    <dataField name="Max of Per day Salary" fld="12" subtotal="max" baseField="1" baseItem="0"/>
    <dataField name="Sum of HRA" fld="13" baseField="0" baseItem="0"/>
    <dataField name="Sum of Total Amount" fld="15" baseField="0" baseItem="0"/>
    <dataField name="Sum of PF" fld="14" baseField="0" baseItem="0"/>
    <dataField name="Sum of In hand Amount" fld="16" baseField="0" baseItem="0"/>
    <dataField name="Sum of Basic Salar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34D29F-7245-44E4-ADED-4559346D1540}" name="WorkDay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68:P80" firstHeaderRow="0"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Fields count="1">
    <field x="-2"/>
  </colFields>
  <colItems count="3">
    <i>
      <x/>
    </i>
    <i i="1">
      <x v="1"/>
    </i>
    <i i="2">
      <x v="2"/>
    </i>
  </colItems>
  <dataFields count="3">
    <dataField name="Sum of Total Days in Month" fld="9" baseField="0" baseItem="0"/>
    <dataField name="Sum of Week off" fld="8" baseField="0" baseItem="0"/>
    <dataField name="Sum of Leav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1D2A58-0A4C-473A-873B-BC2E39BFAD2F}" name="Emp At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Q2:AS13" firstHeaderRow="0" firstDataRow="1" firstDataCol="1"/>
  <pivotFields count="20">
    <pivotField axis="axisRow" showAll="0">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items count="7">
        <item x="4"/>
        <item x="3"/>
        <item x="2"/>
        <item x="0"/>
        <item x="5"/>
        <item x="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0"/>
  </rowFields>
  <rowItems count="11">
    <i>
      <x/>
    </i>
    <i>
      <x v="1"/>
    </i>
    <i>
      <x v="2"/>
    </i>
    <i>
      <x v="3"/>
    </i>
    <i>
      <x v="4"/>
    </i>
    <i>
      <x v="5"/>
    </i>
    <i>
      <x v="6"/>
    </i>
    <i>
      <x v="7"/>
    </i>
    <i>
      <x v="8"/>
    </i>
    <i>
      <x v="9"/>
    </i>
    <i>
      <x v="10"/>
    </i>
  </rowItems>
  <colFields count="1">
    <field x="-2"/>
  </colFields>
  <colItems count="2">
    <i>
      <x/>
    </i>
    <i i="1">
      <x v="1"/>
    </i>
  </colItems>
  <dataFields count="2">
    <dataField name="Presence " fld="4" baseField="0" baseItem="0"/>
    <dataField name=" Absence" fld="5"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97AED9-D91E-4BAD-AAAC-3F190709FD25}" name="Desg_At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2:X8" firstHeaderRow="0" firstDataRow="1" firstDataCol="1"/>
  <pivotFields count="20">
    <pivotField showAll="0">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axis="axisRow" showAll="0">
      <items count="7">
        <item x="4"/>
        <item x="3"/>
        <item x="2"/>
        <item x="0"/>
        <item x="5"/>
        <item x="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6">
    <i>
      <x/>
    </i>
    <i>
      <x v="1"/>
    </i>
    <i>
      <x v="2"/>
    </i>
    <i>
      <x v="3"/>
    </i>
    <i>
      <x v="4"/>
    </i>
    <i>
      <x v="5"/>
    </i>
  </rowItems>
  <colFields count="1">
    <field x="-2"/>
  </colFields>
  <colItems count="2">
    <i>
      <x/>
    </i>
    <i i="1">
      <x v="1"/>
    </i>
  </colItems>
  <dataFields count="2">
    <dataField name="Sum of Presence" fld="4" baseField="0" baseItem="0"/>
    <dataField name="Sum of Absen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BBE6C8-19E0-49AC-9153-9E9A2379E2AC}" name="Emp Total 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55" firstHeaderRow="1" firstDataRow="1" firstDataCol="1"/>
  <pivotFields count="20">
    <pivotField axis="axisRow" showAll="0">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0"/>
  </rowFields>
  <rowItems count="12">
    <i>
      <x/>
    </i>
    <i>
      <x v="1"/>
    </i>
    <i>
      <x v="2"/>
    </i>
    <i>
      <x v="3"/>
    </i>
    <i>
      <x v="4"/>
    </i>
    <i>
      <x v="5"/>
    </i>
    <i>
      <x v="6"/>
    </i>
    <i>
      <x v="7"/>
    </i>
    <i>
      <x v="8"/>
    </i>
    <i>
      <x v="9"/>
    </i>
    <i>
      <x v="10"/>
    </i>
    <i t="grand">
      <x/>
    </i>
  </rowItems>
  <colItems count="1">
    <i/>
  </colItems>
  <dataFields count="1">
    <dataField name="Sum of Total Days in Month"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2D94EB-2F7F-4A57-B588-6076BE40941D}" name="Name_At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D12" firstHeaderRow="0" firstDataRow="1" firstDataCol="1"/>
  <pivotFields count="20">
    <pivotField showAll="0">
      <items count="12">
        <item x="0"/>
        <item x="1"/>
        <item x="2"/>
        <item x="3"/>
        <item x="4"/>
        <item x="5"/>
        <item x="6"/>
        <item x="7"/>
        <item x="8"/>
        <item x="9"/>
        <item x="10"/>
        <item t="default"/>
      </items>
    </pivotField>
    <pivotField axis="axisRow" showAll="0">
      <items count="12">
        <item x="3"/>
        <item x="0"/>
        <item x="8"/>
        <item x="9"/>
        <item x="4"/>
        <item x="2"/>
        <item x="1"/>
        <item x="6"/>
        <item x="5"/>
        <item x="7"/>
        <item x="10"/>
        <item t="default"/>
      </items>
    </pivotField>
    <pivotField showAll="0">
      <items count="13">
        <item x="0"/>
        <item x="1"/>
        <item x="2"/>
        <item x="3"/>
        <item x="4"/>
        <item x="5"/>
        <item x="6"/>
        <item x="7"/>
        <item x="8"/>
        <item x="9"/>
        <item x="10"/>
        <item x="1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x v="10"/>
    </i>
  </rowItems>
  <colFields count="1">
    <field x="-2"/>
  </colFields>
  <colItems count="2">
    <i>
      <x/>
    </i>
    <i i="1">
      <x v="1"/>
    </i>
  </colItems>
  <dataFields count="2">
    <dataField name=" Presence" fld="4" baseField="0" baseItem="0"/>
    <dataField name=" Absen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E948CC-F8A4-459D-B8B2-1AE8EA3AE8D2}" name="Att 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F24" firstHeaderRow="0" firstDataRow="1" firstDataCol="0"/>
  <pivotFields count="20">
    <pivotField showAll="0">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items count="7">
        <item x="4"/>
        <item x="3"/>
        <item x="2"/>
        <item x="0"/>
        <item x="5"/>
        <item x="1"/>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5">
    <i>
      <x/>
    </i>
    <i i="1">
      <x v="1"/>
    </i>
    <i i="2">
      <x v="2"/>
    </i>
    <i i="3">
      <x v="3"/>
    </i>
    <i i="4">
      <x v="4"/>
    </i>
  </colItems>
  <dataFields count="5">
    <dataField name="Sum of Presence" fld="4" baseField="0" baseItem="0"/>
    <dataField name="Sum of Absence" fld="5" baseField="0" baseItem="0"/>
    <dataField name="Sum of Leave" fld="6" baseField="0" baseItem="0"/>
    <dataField name="Sum of Week off" fld="8" baseField="0" baseItem="0"/>
    <dataField name="Sum of holida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06D7D2-1782-4456-A4F9-913C50C7E751}" name="EmpOfthrYea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I2:AL3" firstHeaderRow="0" firstDataRow="1" firstDataCol="1"/>
  <pivotFields count="20">
    <pivotField axis="axisRow" showAll="0" measureFilter="1">
      <items count="12">
        <item x="0"/>
        <item x="1"/>
        <item x="2"/>
        <item x="3"/>
        <item x="4"/>
        <item x="5"/>
        <item x="6"/>
        <item x="7"/>
        <item x="8"/>
        <item x="9"/>
        <item x="10"/>
        <item t="default"/>
      </items>
    </pivotField>
    <pivotField showAll="0"/>
    <pivotField showAll="0">
      <items count="13">
        <item x="0"/>
        <item x="1"/>
        <item x="2"/>
        <item x="3"/>
        <item x="4"/>
        <item x="5"/>
        <item x="6"/>
        <item x="7"/>
        <item x="8"/>
        <item x="9"/>
        <item x="10"/>
        <item x="11"/>
        <item t="default"/>
      </items>
    </pivotField>
    <pivotField showAll="0">
      <items count="7">
        <item x="4"/>
        <item x="3"/>
        <item x="2"/>
        <item x="0"/>
        <item x="5"/>
        <item x="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0"/>
  </rowFields>
  <rowItems count="1">
    <i>
      <x v="3"/>
    </i>
  </rowItems>
  <colFields count="1">
    <field x="-2"/>
  </colFields>
  <colItems count="3">
    <i>
      <x/>
    </i>
    <i i="1">
      <x v="1"/>
    </i>
    <i i="2">
      <x v="2"/>
    </i>
  </colItems>
  <dataFields count="3">
    <dataField name="Sum of Presence" fld="4" baseField="0" baseItem="0"/>
    <dataField name="Sum of Absence" fld="5" baseField="0" baseItem="0"/>
    <dataField name="Sum of Attendence" fld="19" baseField="0" baseItem="0" numFmtId="165"/>
  </dataFields>
  <formats count="2">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2">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288C1D-175A-4741-AFE6-3D2A60AF2F8B}" name="Mon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62:E74" firstHeaderRow="1"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DB8A16-90BC-4527-9329-9E75BC948AB7}" name="MonthlySa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10:T21" firstHeaderRow="1" firstDataRow="1" firstDataCol="1"/>
  <pivotFields count="20">
    <pivotField showAll="0">
      <items count="12">
        <item x="0"/>
        <item x="1"/>
        <item x="2"/>
        <item x="3"/>
        <item x="4"/>
        <item x="5"/>
        <item x="6"/>
        <item x="7"/>
        <item x="8"/>
        <item x="9"/>
        <item x="10"/>
        <item t="default"/>
      </items>
    </pivotField>
    <pivotField axis="axisRow" showAll="0">
      <items count="12">
        <item x="3"/>
        <item x="0"/>
        <item x="8"/>
        <item x="9"/>
        <item x="4"/>
        <item x="2"/>
        <item x="1"/>
        <item x="6"/>
        <item x="5"/>
        <item x="7"/>
        <item x="10"/>
        <item t="default"/>
      </items>
    </pivotField>
    <pivotField showAll="0">
      <items count="13">
        <item x="0"/>
        <item x="1"/>
        <item x="2"/>
        <item x="3"/>
        <item x="4"/>
        <item x="5"/>
        <item x="6"/>
        <item x="7"/>
        <item x="8"/>
        <item x="9"/>
        <item x="10"/>
        <item x="11"/>
        <item t="default"/>
      </items>
    </pivotField>
    <pivotField showAll="0">
      <items count="7">
        <item x="4"/>
        <item x="3"/>
        <item x="2"/>
        <item x="0"/>
        <item x="5"/>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x v="10"/>
    </i>
  </rowItems>
  <colItems count="1">
    <i/>
  </colItems>
  <dataFields count="1">
    <dataField name="Sum of Basic Salar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1D7B212-5E7A-45AF-AFBA-AEBFAC83B3B7}" name="Monthly_At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C2:AF15" firstHeaderRow="0"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items count="7">
        <item x="4"/>
        <item x="3"/>
        <item x="2"/>
        <item x="0"/>
        <item x="5"/>
        <item x="1"/>
        <item t="default"/>
      </items>
    </pivotField>
    <pivotField dataField="1" showAll="0">
      <items count="11">
        <item x="5"/>
        <item x="3"/>
        <item x="4"/>
        <item x="2"/>
        <item x="0"/>
        <item x="1"/>
        <item x="6"/>
        <item x="7"/>
        <item x="8"/>
        <item x="9"/>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 Presence" fld="4" baseField="0" baseItem="0"/>
    <dataField name=" Absence" fld="5" baseField="0" baseItem="0"/>
    <dataField name=" Leave" fld="6" baseField="0" baseItem="0"/>
  </dataFields>
  <chartFormats count="3">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1B1AF2-D505-4EA2-9E8B-96F04DC0FF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23:S36" firstHeaderRow="1"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items count="7">
        <item x="4"/>
        <item x="3"/>
        <item x="2"/>
        <item x="0"/>
        <item x="5"/>
        <item x="1"/>
        <item t="default"/>
      </items>
    </pivotField>
    <pivotField showAll="0">
      <items count="11">
        <item x="5"/>
        <item x="3"/>
        <item x="4"/>
        <item x="2"/>
        <item x="0"/>
        <item x="1"/>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Avg Attendenc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1D1428-76B7-44EC-A49A-71EF5850B06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3:P36" firstHeaderRow="1" firstDataRow="1" firstDataCol="1"/>
  <pivotFields count="20">
    <pivotField showAll="0">
      <items count="12">
        <item x="0"/>
        <item x="1"/>
        <item x="2"/>
        <item x="3"/>
        <item x="4"/>
        <item x="5"/>
        <item x="6"/>
        <item x="7"/>
        <item x="8"/>
        <item x="9"/>
        <item x="10"/>
        <item t="default"/>
      </items>
    </pivotField>
    <pivotField showAll="0"/>
    <pivotField axis="axisRow" showAll="0">
      <items count="13">
        <item x="0"/>
        <item x="1"/>
        <item x="2"/>
        <item x="3"/>
        <item x="4"/>
        <item x="5"/>
        <item x="6"/>
        <item x="7"/>
        <item x="8"/>
        <item x="9"/>
        <item x="10"/>
        <item x="11"/>
        <item t="default"/>
      </items>
    </pivotField>
    <pivotField showAll="0">
      <items count="7">
        <item x="4"/>
        <item x="3"/>
        <item x="2"/>
        <item x="0"/>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Avg Attendenc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2" connectionId="3" xr16:uid="{CDAA0722-62F7-4755-B578-0B9C13E7A8EA}"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10" xr16:uid="{C18D4580-0BA2-46E4-894A-D3F4493C7ADD}"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11" xr16:uid="{AF4FE8F6-0C54-43A4-B034-CA4541D37299}"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12" xr16:uid="{476F1675-D0F2-47F8-8BA7-41E95692C490}"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2" xr16:uid="{1BDB540B-3083-47B2-9642-57B65DF21E3B}"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6" xr16:uid="{45E6EB69-5C27-4C0F-98D4-09B5F8CD151D}"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7" xr16:uid="{57E44B93-2771-4861-92A7-EB52DE266039}"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9" xr16:uid="{9A57F8AC-313A-43D7-B010-05FB2E2B19FB}"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1" xr16:uid="{4354D5E9-4D4B-49E7-BD1F-39C2DC246D57}"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8" xr16:uid="{180A7EE6-A13D-49D6-A8CB-2FD8374E592F}"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4" xr16:uid="{DC663DB0-D166-4448-889A-BDF78501E256}" autoFormatId="16" applyNumberFormats="0" applyBorderFormats="0" applyFontFormats="0" applyPatternFormats="0" applyAlignmentFormats="0" applyWidthHeightFormats="0">
  <queryTableRefresh nextId="18">
    <queryTableFields count="17">
      <queryTableField id="1" name="Emp ID" tableColumnId="1"/>
      <queryTableField id="2" name="Name" tableColumnId="2"/>
      <queryTableField id="3" name="Month" tableColumnId="3"/>
      <queryTableField id="4" name="Designation" tableColumnId="4"/>
      <queryTableField id="5" name="Presence" tableColumnId="5"/>
      <queryTableField id="6" name="Absence" tableColumnId="6"/>
      <queryTableField id="7" name="Leave" tableColumnId="7"/>
      <queryTableField id="8" name="holiday" tableColumnId="8"/>
      <queryTableField id="9" name="Week off" tableColumnId="9"/>
      <queryTableField id="10" name="Total Days in Month" tableColumnId="10"/>
      <queryTableField id="11" name="Total Payable Days" tableColumnId="11"/>
      <queryTableField id="12" name="Basic Salary" tableColumnId="12"/>
      <queryTableField id="13" name="Per day Salary" tableColumnId="13"/>
      <queryTableField id="14" name="HRA" tableColumnId="14"/>
      <queryTableField id="15" name="PF" tableColumnId="15"/>
      <queryTableField id="16" name="Total Amount" tableColumnId="16"/>
      <queryTableField id="17" name="In hand Amoun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E4AC4A4-AEF6-4E03-A01D-625D4AE6D363}" sourceName="Month">
  <pivotTables>
    <pivotTable tabId="1" name="Name_Att"/>
    <pivotTable tabId="1" name="Desg_Att"/>
    <pivotTable tabId="1" name="Emp_Sal"/>
    <pivotTable tabId="1" name="Att KPI"/>
    <pivotTable tabId="1" name="PivotTable6"/>
    <pivotTable tabId="1" name="PivotTable7"/>
    <pivotTable tabId="1" name="Emp Att"/>
    <pivotTable tabId="1" name="PivotTable3"/>
    <pivotTable tabId="1" name="PivotTable9"/>
    <pivotTable tabId="1" name="WorkDays"/>
    <pivotTable tabId="1" name="Month"/>
  </pivotTables>
  <data>
    <tabular pivotCacheId="178592775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34D9D443-ADF7-42D9-954F-07BB0D0FA2BE}" sourceName="Emp ID">
  <pivotTables>
    <pivotTable tabId="1" name="Name_Att"/>
    <pivotTable tabId="1" name="Desg_Att"/>
    <pivotTable tabId="1" name="Emp_Sal"/>
    <pivotTable tabId="1" name="Monthly_Att"/>
    <pivotTable tabId="1" name="PivotTable6"/>
    <pivotTable tabId="1" name="PivotTable7"/>
    <pivotTable tabId="1" name="PivotTable3"/>
    <pivotTable tabId="1" name="PivotTable9"/>
    <pivotTable tabId="1" name="Month"/>
    <pivotTable tabId="1" name="Att KPI"/>
    <pivotTable tabId="1" name="MonthlySal"/>
  </pivotTables>
  <data>
    <tabular pivotCacheId="1785927750">
      <items count="11">
        <i x="0" s="1"/>
        <i x="1" s="1"/>
        <i x="2" s="1"/>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541607DB-62B6-44C5-BB1D-816923C2DA9B}" sourceName="Designation">
  <pivotTables>
    <pivotTable tabId="1" name="Emp_Sal"/>
    <pivotTable tabId="1" name="Att KPI"/>
    <pivotTable tabId="1" name="Desg_Att"/>
    <pivotTable tabId="1" name="Emp Att"/>
    <pivotTable tabId="1" name="Monthly_Att"/>
    <pivotTable tabId="1" name="PivotTable3"/>
    <pivotTable tabId="1" name="PivotTable6"/>
    <pivotTable tabId="1" name="PivotTable7"/>
    <pivotTable tabId="1" name="PivotTable9"/>
    <pivotTable tabId="1" name="MonthlySal"/>
  </pivotTables>
  <data>
    <tabular pivotCacheId="1785927750">
      <items count="6">
        <i x="4" s="1"/>
        <i x="3" s="1"/>
        <i x="2"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7F74A33-9D5E-46E9-80D9-032D14DD49F3}" cache="Slicer_Month" caption="Month" columnCount="3" showCaption="0" style="Slicer Green Disha" rowHeight="234950"/>
  <slicer name="Emp ID" xr10:uid="{05803B92-25BC-431F-91A1-35769B3AFD27}" cache="Slicer_Emp_ID" caption="Emp ID" columnCount="4" showCaption="0" style="Slicer Green Disha" rowHeight="234950"/>
  <slicer name="Designation" xr10:uid="{32D010A2-9B42-47E4-982B-6F0A2FCF1736}" cache="Slicer_Designation" caption="Designation" columnCount="3" showCaption="0" style="Slicer Green Disha"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1BCB0F-D5D4-4AFF-BFD9-64820E6CF238}" name="DecReport" displayName="DecReport" ref="A1:Q13" tableType="queryTable" totalsRowShown="0">
  <autoFilter ref="A1:Q13" xr:uid="{041BCB0F-D5D4-4AFF-BFD9-64820E6CF238}"/>
  <tableColumns count="17">
    <tableColumn id="1" xr3:uid="{CD2809D7-3B34-4590-8007-661226248F0A}" uniqueName="1" name="Emp ID" queryTableFieldId="1" dataDxfId="45"/>
    <tableColumn id="2" xr3:uid="{205BC949-1CC4-42E9-80DF-0E478255DC10}" uniqueName="2" name="Name" queryTableFieldId="2" dataDxfId="44"/>
    <tableColumn id="3" xr3:uid="{0CED2B3F-5C65-41A1-A750-0895D03E74CE}" uniqueName="3" name="Month" queryTableFieldId="3" dataDxfId="43"/>
    <tableColumn id="4" xr3:uid="{3F9A129F-2084-47C3-A9C0-436C57F147B8}" uniqueName="4" name="Designation" queryTableFieldId="4" dataDxfId="42"/>
    <tableColumn id="5" xr3:uid="{ABB980CB-EB86-4810-909F-28CE56A57EDB}" uniqueName="5" name="Presence" queryTableFieldId="5"/>
    <tableColumn id="6" xr3:uid="{35EC2BB9-A178-4FAE-874B-328296038A15}" uniqueName="6" name="Absence" queryTableFieldId="6"/>
    <tableColumn id="7" xr3:uid="{E6E7CFDF-4BA7-4FFC-998B-8093E7BB5D52}" uniqueName="7" name="Leave" queryTableFieldId="7"/>
    <tableColumn id="8" xr3:uid="{1417AA0C-6AB3-47A2-963E-DD3C091A88A2}" uniqueName="8" name="holiday" queryTableFieldId="8"/>
    <tableColumn id="9" xr3:uid="{A522F9CB-151E-4BDE-AD2F-D614F5BDC04E}" uniqueName="9" name="Week off" queryTableFieldId="9"/>
    <tableColumn id="10" xr3:uid="{059DAF0C-A94C-4E3F-A41B-480CD1F6099C}" uniqueName="10" name="Total Days in Month" queryTableFieldId="10"/>
    <tableColumn id="11" xr3:uid="{EC7A8B42-B175-4339-9C9F-394E367888BB}" uniqueName="11" name="Total Payable Days" queryTableFieldId="11"/>
    <tableColumn id="12" xr3:uid="{69CBBE7D-C828-4F53-A4CD-4C4680527A91}" uniqueName="12" name="Basic Salary" queryTableFieldId="12"/>
    <tableColumn id="13" xr3:uid="{B6E615B2-9AFA-4061-82E1-FE8F7BA04912}" uniqueName="13" name="Per day Salary" queryTableFieldId="13"/>
    <tableColumn id="14" xr3:uid="{13D27870-7274-4397-B996-DD790AD6036D}" uniqueName="14" name="HRA" queryTableFieldId="14"/>
    <tableColumn id="15" xr3:uid="{A9E81A5B-6E2D-4995-BA1A-15CB360036A9}" uniqueName="15" name="PF" queryTableFieldId="15"/>
    <tableColumn id="16" xr3:uid="{3CAB614D-6D1A-4AA2-9BC9-1113527EBCFF}" uniqueName="16" name="Total Amount" queryTableFieldId="16"/>
    <tableColumn id="17" xr3:uid="{96893F05-7C25-48AE-8B8D-A9AA15CE5E66}" uniqueName="17" name="In hand Amount"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AC9A2E-A725-4924-B46A-1E2630318E72}" name="NovReport" displayName="NovReport" ref="A1:Q13" tableType="queryTable" totalsRowShown="0">
  <autoFilter ref="A1:Q13" xr:uid="{FFAC9A2E-A725-4924-B46A-1E2630318E72}"/>
  <tableColumns count="17">
    <tableColumn id="1" xr3:uid="{D0DF495D-FC17-4EAF-9A8D-F5D8BDBFF5A0}" uniqueName="1" name="Emp ID" queryTableFieldId="1" dataDxfId="41"/>
    <tableColumn id="2" xr3:uid="{C54F1B47-B9C1-4812-8B92-350E95A544E3}" uniqueName="2" name="Name" queryTableFieldId="2" dataDxfId="40"/>
    <tableColumn id="3" xr3:uid="{313BD50F-9597-40F0-A30E-A19DE5D55897}" uniqueName="3" name="Month" queryTableFieldId="3" dataDxfId="39"/>
    <tableColumn id="4" xr3:uid="{30BB0F7F-DCFA-41D3-A9B1-2255C4C731C5}" uniqueName="4" name="Designation" queryTableFieldId="4" dataDxfId="38"/>
    <tableColumn id="5" xr3:uid="{E6299DFE-D348-4437-807F-B30F4B1AB320}" uniqueName="5" name="Presence" queryTableFieldId="5"/>
    <tableColumn id="6" xr3:uid="{C13D31CD-3344-4DEA-8339-4A3756C4F5D8}" uniqueName="6" name="Absence" queryTableFieldId="6"/>
    <tableColumn id="7" xr3:uid="{5E2A6043-8FC5-4C3C-B47E-37638881F846}" uniqueName="7" name="Leave" queryTableFieldId="7"/>
    <tableColumn id="8" xr3:uid="{AB4A04FD-F24A-4ABD-A421-40EC7666C749}" uniqueName="8" name="holiday" queryTableFieldId="8"/>
    <tableColumn id="9" xr3:uid="{56345AA2-2127-4C78-AAA2-0D8083AF90DF}" uniqueName="9" name="Week off" queryTableFieldId="9"/>
    <tableColumn id="10" xr3:uid="{84C015C6-54EB-4FE3-89D7-76FAB9791227}" uniqueName="10" name="Total Days in Month" queryTableFieldId="10"/>
    <tableColumn id="11" xr3:uid="{9D79A37E-75A8-49E2-962B-D403F2CF1729}" uniqueName="11" name="Total Payable Days" queryTableFieldId="11"/>
    <tableColumn id="12" xr3:uid="{1EABA829-ADD9-409D-ABC7-36A74CC3FDC4}" uniqueName="12" name="Basic Salary" queryTableFieldId="12"/>
    <tableColumn id="13" xr3:uid="{92864D31-F889-4161-ACEB-F14B66AD0D1F}" uniqueName="13" name="Per day Salary" queryTableFieldId="13"/>
    <tableColumn id="14" xr3:uid="{558C8E23-E179-4C5A-8BBE-1FF68D471DF6}" uniqueName="14" name="HRA" queryTableFieldId="14"/>
    <tableColumn id="15" xr3:uid="{5CFDF53A-B7A0-42A5-8ED4-1CB9439ECB75}" uniqueName="15" name="PF" queryTableFieldId="15"/>
    <tableColumn id="16" xr3:uid="{A72A850D-2A0E-4038-A589-3595CB114758}" uniqueName="16" name="Total Amount" queryTableFieldId="16"/>
    <tableColumn id="17" xr3:uid="{C88F2FC5-B085-4FA8-A640-5EE4D0F7E5D8}" uniqueName="17" name="In hand Amount"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33322E-E06F-4510-97F1-E49C65F6E26D}" name="OctReport" displayName="OctReport" ref="A1:Q13" tableType="queryTable" totalsRowShown="0">
  <autoFilter ref="A1:Q13" xr:uid="{F233322E-E06F-4510-97F1-E49C65F6E26D}"/>
  <tableColumns count="17">
    <tableColumn id="1" xr3:uid="{4BFB4F50-395E-46B3-BD03-A3054E2C36BE}" uniqueName="1" name="Emp ID" queryTableFieldId="1" dataDxfId="37"/>
    <tableColumn id="2" xr3:uid="{DC7EE6BE-7A2E-4148-B465-94FA506C6804}" uniqueName="2" name="Name" queryTableFieldId="2" dataDxfId="36"/>
    <tableColumn id="3" xr3:uid="{6FF2FC98-4F3F-4AC1-B628-FB4C8ECB7AE2}" uniqueName="3" name="Month" queryTableFieldId="3" dataDxfId="35"/>
    <tableColumn id="4" xr3:uid="{3C956C39-7E1D-4948-8137-9134CEE17D8E}" uniqueName="4" name="Designation" queryTableFieldId="4" dataDxfId="34"/>
    <tableColumn id="5" xr3:uid="{FD086C9E-3F65-4F1E-ABAB-0E6250E8CCCA}" uniqueName="5" name="Presence" queryTableFieldId="5"/>
    <tableColumn id="6" xr3:uid="{D7E95899-C5DB-4548-AAB7-FFFB103D3259}" uniqueName="6" name="Absence" queryTableFieldId="6"/>
    <tableColumn id="7" xr3:uid="{4F446672-82A4-48A3-8C46-56A66D275DE6}" uniqueName="7" name="Leave" queryTableFieldId="7"/>
    <tableColumn id="8" xr3:uid="{185DE6BB-3008-4E71-AFE0-5FFEA65E32AD}" uniqueName="8" name="holiday" queryTableFieldId="8"/>
    <tableColumn id="9" xr3:uid="{30F3DB64-5265-4558-9116-003D0744C056}" uniqueName="9" name="Week off" queryTableFieldId="9"/>
    <tableColumn id="10" xr3:uid="{E83EDCF5-D230-4DD0-9639-8BDCE3286FBA}" uniqueName="10" name="Total Days in Month" queryTableFieldId="10"/>
    <tableColumn id="11" xr3:uid="{0A951D8B-D804-4A55-B1D4-C30729CABB27}" uniqueName="11" name="Total Payable Days" queryTableFieldId="11"/>
    <tableColumn id="12" xr3:uid="{9646682F-DCF2-4056-8142-D7DB68428B0C}" uniqueName="12" name="Basic Salary" queryTableFieldId="12"/>
    <tableColumn id="13" xr3:uid="{E0FE5707-5EA3-4F65-A8DA-6628861FFFC4}" uniqueName="13" name="Per day Salary" queryTableFieldId="13"/>
    <tableColumn id="14" xr3:uid="{47102565-C857-47CA-98F5-85D78FC5AC62}" uniqueName="14" name="HRA" queryTableFieldId="14"/>
    <tableColumn id="15" xr3:uid="{5734F1EB-EE1C-4B8A-A473-11A0C1EDA671}" uniqueName="15" name="PF" queryTableFieldId="15"/>
    <tableColumn id="16" xr3:uid="{D469385C-5573-4986-90D2-A69F9421EB15}" uniqueName="16" name="Total Amount" queryTableFieldId="16"/>
    <tableColumn id="17" xr3:uid="{626765BD-5D95-4E48-8954-0A775AB0A3B9}" uniqueName="17" name="In hand Amount"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BC93F-8834-4704-8CF6-5882934AF668}" name="SepReport" displayName="SepReport" ref="A1:Q13" tableType="queryTable" totalsRowShown="0">
  <autoFilter ref="A1:Q13" xr:uid="{903BC93F-8834-4704-8CF6-5882934AF668}"/>
  <tableColumns count="17">
    <tableColumn id="1" xr3:uid="{BDCE26DF-6908-4865-9C61-F836DEB1C3BD}" uniqueName="1" name="Emp ID" queryTableFieldId="1" dataDxfId="33"/>
    <tableColumn id="2" xr3:uid="{6FAC84D4-D82D-4B4A-8876-34DB6D493AEB}" uniqueName="2" name="Name" queryTableFieldId="2" dataDxfId="32"/>
    <tableColumn id="3" xr3:uid="{DB3DDEE8-6193-4D46-8406-40474F6CC003}" uniqueName="3" name="Month" queryTableFieldId="3" dataDxfId="31"/>
    <tableColumn id="4" xr3:uid="{D891C9EA-85C0-4278-8363-3CAAF1A1F9C1}" uniqueName="4" name="Designation" queryTableFieldId="4" dataDxfId="30"/>
    <tableColumn id="5" xr3:uid="{ED86B62A-04C8-4250-B5E8-8DBFE7D69E0C}" uniqueName="5" name="Presence" queryTableFieldId="5"/>
    <tableColumn id="6" xr3:uid="{9CCC4BB2-8863-4464-A669-3E6B9191AB70}" uniqueName="6" name="Absence" queryTableFieldId="6"/>
    <tableColumn id="7" xr3:uid="{4E0029CB-CC9E-43A5-ADCE-EBCAE1B50EE4}" uniqueName="7" name="Leave" queryTableFieldId="7"/>
    <tableColumn id="8" xr3:uid="{B71C39B1-EDD3-4594-B285-A11DEE26FF32}" uniqueName="8" name="holiday" queryTableFieldId="8"/>
    <tableColumn id="9" xr3:uid="{5C2ED196-6D7A-42DB-91A0-931CE76FD2EC}" uniqueName="9" name="Week off" queryTableFieldId="9"/>
    <tableColumn id="10" xr3:uid="{F2AA8FF7-701F-4D2D-9942-A76EEA9E0D84}" uniqueName="10" name="Total Days in Month" queryTableFieldId="10"/>
    <tableColumn id="11" xr3:uid="{8CB33FE2-D876-46D9-A270-0D0B4DB7AA6B}" uniqueName="11" name="Total Payable Days" queryTableFieldId="11"/>
    <tableColumn id="12" xr3:uid="{008AE53A-C00D-4530-A4A2-418A6A5D3B0F}" uniqueName="12" name="Basic Salary" queryTableFieldId="12"/>
    <tableColumn id="13" xr3:uid="{AEA1B92B-3054-4D69-88F9-7C83A6642F7F}" uniqueName="13" name="Per day Salary" queryTableFieldId="13"/>
    <tableColumn id="14" xr3:uid="{1A27F3FD-CEBC-4DD8-8E8A-770D596BBC26}" uniqueName="14" name="HRA" queryTableFieldId="14"/>
    <tableColumn id="15" xr3:uid="{D26AE132-621C-4F70-AE60-43272161310E}" uniqueName="15" name="PF" queryTableFieldId="15"/>
    <tableColumn id="16" xr3:uid="{221CD640-3415-4310-8A54-5F48AEB0E4EA}" uniqueName="16" name="Total Amount" queryTableFieldId="16"/>
    <tableColumn id="17" xr3:uid="{17BF22D7-A914-4092-91AB-5F6B568EF19F}" uniqueName="17" name="In hand Amount"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BECD5C-8EC7-4DCB-B312-0AF9573525FB}" name="AugReport" displayName="AugReport" ref="A1:Q13" tableType="queryTable" totalsRowShown="0">
  <autoFilter ref="A1:Q13" xr:uid="{5DBECD5C-8EC7-4DCB-B312-0AF9573525FB}"/>
  <tableColumns count="17">
    <tableColumn id="1" xr3:uid="{FFA1F9DB-FD65-4586-9914-9D5266ACFBE9}" uniqueName="1" name="Emp ID" queryTableFieldId="1" dataDxfId="29"/>
    <tableColumn id="2" xr3:uid="{DDE5A7B2-E39B-408F-8908-9B7F76FBD1A2}" uniqueName="2" name="Name" queryTableFieldId="2" dataDxfId="28"/>
    <tableColumn id="3" xr3:uid="{46AAFA35-0188-4388-9E9D-819E7E7E79F0}" uniqueName="3" name="Month" queryTableFieldId="3" dataDxfId="27"/>
    <tableColumn id="4" xr3:uid="{54DDB4E5-DB01-4622-AEA8-4837AFE3C8FD}" uniqueName="4" name="Designation" queryTableFieldId="4" dataDxfId="26"/>
    <tableColumn id="5" xr3:uid="{0381C315-403C-4A1E-AA0D-25032734600E}" uniqueName="5" name="Presence" queryTableFieldId="5"/>
    <tableColumn id="6" xr3:uid="{FDF58968-C49B-4610-B0A2-CA2D25E77B7F}" uniqueName="6" name="Absence" queryTableFieldId="6"/>
    <tableColumn id="7" xr3:uid="{736BED05-EF85-4AFA-AD41-51330C46F57F}" uniqueName="7" name="Leave" queryTableFieldId="7"/>
    <tableColumn id="8" xr3:uid="{D093A47D-5E63-4FEB-BAD1-D00A22EDEF64}" uniqueName="8" name="holiday" queryTableFieldId="8"/>
    <tableColumn id="9" xr3:uid="{1A48B64A-ACD3-4088-A270-FDF166BFD641}" uniqueName="9" name="Week off" queryTableFieldId="9"/>
    <tableColumn id="10" xr3:uid="{5729F962-C854-4D10-87D2-218B8AFD1BAD}" uniqueName="10" name="Total Days in Month" queryTableFieldId="10"/>
    <tableColumn id="11" xr3:uid="{1F8FD93B-CBCD-48EC-8834-16095A7140A5}" uniqueName="11" name="Total Payable Days" queryTableFieldId="11"/>
    <tableColumn id="12" xr3:uid="{E73F228F-3CB5-497F-A4D5-9066A539F643}" uniqueName="12" name="Basic Salary" queryTableFieldId="12"/>
    <tableColumn id="13" xr3:uid="{C0BBCFE8-0A4D-4191-B23A-4F30A3E10B7A}" uniqueName="13" name="Per day Salary" queryTableFieldId="13"/>
    <tableColumn id="14" xr3:uid="{67FA98A7-DB92-4B9D-A84F-64F7033ECC91}" uniqueName="14" name="HRA" queryTableFieldId="14"/>
    <tableColumn id="15" xr3:uid="{AC90826E-3E07-42D5-8986-8DD136C85655}" uniqueName="15" name="PF" queryTableFieldId="15"/>
    <tableColumn id="16" xr3:uid="{CAC5148F-E24C-468C-AE17-80D0DCE7FEA2}" uniqueName="16" name="Total Amount" queryTableFieldId="16"/>
    <tableColumn id="17" xr3:uid="{D65642D9-0025-4CB7-AAF1-1298C9ADD849}" uniqueName="17" name="In hand Amount"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AA660B-5460-4446-A28A-C5134DE89B03}" name="JulReport" displayName="JulReport" ref="A1:Q13" tableType="queryTable" totalsRowShown="0">
  <autoFilter ref="A1:Q13" xr:uid="{EFAA660B-5460-4446-A28A-C5134DE89B03}"/>
  <tableColumns count="17">
    <tableColumn id="1" xr3:uid="{D60555DC-B6E7-44CB-BF20-368C1FBAAA03}" uniqueName="1" name="Emp ID" queryTableFieldId="1" dataDxfId="25"/>
    <tableColumn id="2" xr3:uid="{CF717B7D-F8CD-489F-A4ED-1E213569B723}" uniqueName="2" name="Name" queryTableFieldId="2" dataDxfId="24"/>
    <tableColumn id="3" xr3:uid="{97E8AD87-304A-4049-87C9-4FA80B3EAE02}" uniqueName="3" name="Month" queryTableFieldId="3" dataDxfId="23"/>
    <tableColumn id="4" xr3:uid="{2320E935-A95F-4FE9-BDBD-780047BD4D3D}" uniqueName="4" name="Designation" queryTableFieldId="4" dataDxfId="22"/>
    <tableColumn id="5" xr3:uid="{00F575CB-F869-43F6-AF51-4D29EEA5B616}" uniqueName="5" name="Presence" queryTableFieldId="5"/>
    <tableColumn id="6" xr3:uid="{6A6E926C-CAD4-4777-BEC3-0C8DB3F57797}" uniqueName="6" name="Absence" queryTableFieldId="6"/>
    <tableColumn id="7" xr3:uid="{33A47A99-8816-4533-B1E9-CC22DCA301A2}" uniqueName="7" name="Leave" queryTableFieldId="7"/>
    <tableColumn id="8" xr3:uid="{376A7CAD-EE65-43C2-B8FC-AAAE7359A8C5}" uniqueName="8" name="holiday" queryTableFieldId="8"/>
    <tableColumn id="9" xr3:uid="{5047411E-0DBB-4D6D-8FE6-B92759A46597}" uniqueName="9" name="Week off" queryTableFieldId="9"/>
    <tableColumn id="10" xr3:uid="{2590F55A-02EB-4376-B5D2-FBDF68EA1D0C}" uniqueName="10" name="Total Days in Month" queryTableFieldId="10"/>
    <tableColumn id="11" xr3:uid="{C9D36ABE-52EE-4870-9595-5D7122CA6891}" uniqueName="11" name="Total Payable Days" queryTableFieldId="11"/>
    <tableColumn id="12" xr3:uid="{48091BAE-4267-4705-BE6C-511D52EFCC2C}" uniqueName="12" name="Basic Salary" queryTableFieldId="12"/>
    <tableColumn id="13" xr3:uid="{BBD11118-8882-43C1-B4C1-F695100569DC}" uniqueName="13" name="Per day Salary" queryTableFieldId="13"/>
    <tableColumn id="14" xr3:uid="{F2A924A3-2AD7-4E9F-92B5-5908F10F85F4}" uniqueName="14" name="HRA" queryTableFieldId="14"/>
    <tableColumn id="15" xr3:uid="{6F8460F4-9618-4CA7-8A3D-0AEA65315E2E}" uniqueName="15" name="PF" queryTableFieldId="15"/>
    <tableColumn id="16" xr3:uid="{E5B3A1B3-C123-4D22-8269-1713E0C8D48C}" uniqueName="16" name="Total Amount" queryTableFieldId="16"/>
    <tableColumn id="17" xr3:uid="{0AB4C142-D2D4-44D2-BF12-84FD4C8F6548}" uniqueName="17" name="In hand Amount"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59656E-B39D-4A00-8BE9-CA36749457E1}" name="JunReport" displayName="JunReport" ref="A1:Q13" tableType="queryTable" totalsRowShown="0">
  <autoFilter ref="A1:Q13" xr:uid="{8659656E-B39D-4A00-8BE9-CA36749457E1}"/>
  <tableColumns count="17">
    <tableColumn id="1" xr3:uid="{9A16E1EA-B539-49C6-83F7-FF9B4D36CB43}" uniqueName="1" name="Emp ID" queryTableFieldId="1" dataDxfId="21"/>
    <tableColumn id="2" xr3:uid="{71FBCAC2-3471-4F26-BCAD-F81BD328FFBC}" uniqueName="2" name="Name" queryTableFieldId="2" dataDxfId="20"/>
    <tableColumn id="3" xr3:uid="{8957F78E-EF9A-46A9-82F2-C0A65BC26C85}" uniqueName="3" name="Month" queryTableFieldId="3" dataDxfId="19"/>
    <tableColumn id="4" xr3:uid="{8BA929B4-F66D-42ED-982D-935A98CA8E62}" uniqueName="4" name="Designation" queryTableFieldId="4" dataDxfId="18"/>
    <tableColumn id="5" xr3:uid="{5BED2CAB-9308-482C-BDB7-AFA3799B39DF}" uniqueName="5" name="Presence" queryTableFieldId="5"/>
    <tableColumn id="6" xr3:uid="{C0AEDEE1-A401-4287-8CB7-ADC9472D7C19}" uniqueName="6" name="Absence" queryTableFieldId="6"/>
    <tableColumn id="7" xr3:uid="{7415F801-79D7-4712-9A1B-E69EB5171C37}" uniqueName="7" name="Leave" queryTableFieldId="7"/>
    <tableColumn id="8" xr3:uid="{69A671AB-EBE9-4AE4-836F-B055ECD709A0}" uniqueName="8" name="holiday" queryTableFieldId="8"/>
    <tableColumn id="9" xr3:uid="{2AD32A53-31A3-4470-BF32-156C1FA78380}" uniqueName="9" name="Week off" queryTableFieldId="9"/>
    <tableColumn id="10" xr3:uid="{177B9513-E415-4A9D-BCAF-F2EC4A18F765}" uniqueName="10" name="Total Days in Month" queryTableFieldId="10"/>
    <tableColumn id="11" xr3:uid="{C11E8A42-F8C1-4C18-8060-433DCFC1C1FB}" uniqueName="11" name="Total Payable Days" queryTableFieldId="11"/>
    <tableColumn id="12" xr3:uid="{0E5A18FC-D1FF-4473-AAFB-8A7291A5E810}" uniqueName="12" name="Basic Salary" queryTableFieldId="12"/>
    <tableColumn id="13" xr3:uid="{8454DC38-5A56-474A-971B-F5FFA4A8582D}" uniqueName="13" name="Per day Salary" queryTableFieldId="13"/>
    <tableColumn id="14" xr3:uid="{C3005C13-8FC8-4545-B29A-8673F75C0880}" uniqueName="14" name="HRA" queryTableFieldId="14"/>
    <tableColumn id="15" xr3:uid="{27D138EC-2997-4910-9F34-D3C30D8C6741}" uniqueName="15" name="PF" queryTableFieldId="15"/>
    <tableColumn id="16" xr3:uid="{B88827B4-D886-4AB7-9705-D7DA93623343}" uniqueName="16" name="Total Amount" queryTableFieldId="16"/>
    <tableColumn id="17" xr3:uid="{44772E69-5E50-4A94-9BDC-3A76F91DBCE5}" uniqueName="17" name="In hand Amount" queryTableField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9A9202-2C8C-410C-BBBE-87580C398788}" name="MayReport" displayName="MayReport" ref="A1:Q13" tableType="queryTable" totalsRowShown="0">
  <autoFilter ref="A1:Q13" xr:uid="{0A9A9202-2C8C-410C-BBBE-87580C398788}"/>
  <tableColumns count="17">
    <tableColumn id="1" xr3:uid="{3036DCBB-B0C4-40E9-966E-9228D744CB4B}" uniqueName="1" name="Emp ID" queryTableFieldId="1" dataDxfId="17"/>
    <tableColumn id="2" xr3:uid="{103EB413-C4F6-4176-91FD-7427A7D825A2}" uniqueName="2" name="Name" queryTableFieldId="2" dataDxfId="16"/>
    <tableColumn id="3" xr3:uid="{421FF227-4194-4737-8654-27D2FD0C6792}" uniqueName="3" name="Month" queryTableFieldId="3" dataDxfId="15"/>
    <tableColumn id="4" xr3:uid="{331E1129-4EC7-4F85-83C6-637A83AD0FA0}" uniqueName="4" name="Designation" queryTableFieldId="4" dataDxfId="14"/>
    <tableColumn id="5" xr3:uid="{A296FE08-CF89-44EF-8E7F-803F5EE7BFB9}" uniqueName="5" name="Presence" queryTableFieldId="5"/>
    <tableColumn id="6" xr3:uid="{519F1275-FB3D-4575-B5C1-855838100634}" uniqueName="6" name="Absence" queryTableFieldId="6"/>
    <tableColumn id="7" xr3:uid="{E2E5CEA4-9AF8-4643-AABB-63C191FE3B7B}" uniqueName="7" name="Leave" queryTableFieldId="7"/>
    <tableColumn id="8" xr3:uid="{CB35DAC1-359A-4CB4-A54C-C8F017E58558}" uniqueName="8" name="holiday" queryTableFieldId="8"/>
    <tableColumn id="9" xr3:uid="{909AAF36-F0AA-4CFE-99F8-45AC610038AA}" uniqueName="9" name="Week off" queryTableFieldId="9"/>
    <tableColumn id="10" xr3:uid="{C0FC0815-39E4-46B9-8DC5-AE22F47587BF}" uniqueName="10" name="Total Days in Month" queryTableFieldId="10"/>
    <tableColumn id="11" xr3:uid="{D86BAF4B-DA92-4D1C-B1FD-62A3F5C3F1DD}" uniqueName="11" name="Total Payable Days" queryTableFieldId="11"/>
    <tableColumn id="12" xr3:uid="{3E0B99F7-D23B-4B12-8720-337571E4DD42}" uniqueName="12" name="Basic Salary" queryTableFieldId="12"/>
    <tableColumn id="13" xr3:uid="{A677325F-8560-4A75-8922-D2F6DED195D8}" uniqueName="13" name="Per day Salary" queryTableFieldId="13"/>
    <tableColumn id="14" xr3:uid="{892A77C7-28DD-42A0-AE45-9C627C2B43F9}" uniqueName="14" name="HRA" queryTableFieldId="14"/>
    <tableColumn id="15" xr3:uid="{AF23EEC3-B567-48D3-B760-744062D6BE25}" uniqueName="15" name="PF" queryTableFieldId="15"/>
    <tableColumn id="16" xr3:uid="{EC151F2F-49C5-492B-BC67-933953119C78}" uniqueName="16" name="Total Amount" queryTableFieldId="16"/>
    <tableColumn id="17" xr3:uid="{77DC925B-F4DD-4E0C-BC65-712EBD8462FA}" uniqueName="17" name="In hand Amount" queryTableFieldId="1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A54BE86-7B77-43FC-A78D-82B71A4BF76C}" name="AprReport" displayName="AprReport" ref="A1:Q13" tableType="queryTable" totalsRowShown="0">
  <autoFilter ref="A1:Q13" xr:uid="{FA54BE86-7B77-43FC-A78D-82B71A4BF76C}"/>
  <tableColumns count="17">
    <tableColumn id="1" xr3:uid="{A4C88340-21A2-4191-8C96-856128C58336}" uniqueName="1" name="Emp ID" queryTableFieldId="1" dataDxfId="13"/>
    <tableColumn id="2" xr3:uid="{7AD21131-10FE-4319-B40D-9DA9DC0380A4}" uniqueName="2" name="Name" queryTableFieldId="2" dataDxfId="12"/>
    <tableColumn id="3" xr3:uid="{21655C88-E903-4B96-9347-AB591D4D0EC1}" uniqueName="3" name="Month" queryTableFieldId="3" dataDxfId="11"/>
    <tableColumn id="4" xr3:uid="{43397399-DDD7-4B59-A8AC-2A7674D5E5A4}" uniqueName="4" name="Designation" queryTableFieldId="4" dataDxfId="10"/>
    <tableColumn id="5" xr3:uid="{70D3C27E-CBCD-4B3E-A918-10BCA17E484B}" uniqueName="5" name="Presence" queryTableFieldId="5"/>
    <tableColumn id="6" xr3:uid="{1207D574-8E90-4CD4-9E1E-BEC8D7DD8A91}" uniqueName="6" name="Absence" queryTableFieldId="6"/>
    <tableColumn id="7" xr3:uid="{1E2DE4C0-BA98-4DA1-9DB8-53AE036C8197}" uniqueName="7" name="Leave" queryTableFieldId="7"/>
    <tableColumn id="8" xr3:uid="{75350B03-CD5D-4048-BB2A-1395D4FF12B1}" uniqueName="8" name="holiday" queryTableFieldId="8"/>
    <tableColumn id="9" xr3:uid="{16BFDD47-2B7C-40EA-A3A2-AD6060E52F67}" uniqueName="9" name="Week off" queryTableFieldId="9"/>
    <tableColumn id="10" xr3:uid="{A5A1BAAB-F040-4715-8503-6251B99720D6}" uniqueName="10" name="Total Days in Month" queryTableFieldId="10"/>
    <tableColumn id="11" xr3:uid="{C68E4EA1-6682-48CD-9F6D-443F958324F5}" uniqueName="11" name="Total Payable Days" queryTableFieldId="11"/>
    <tableColumn id="12" xr3:uid="{07688F48-F3E1-4974-916D-AC3974348AD6}" uniqueName="12" name="Basic Salary" queryTableFieldId="12"/>
    <tableColumn id="13" xr3:uid="{4938D2F7-AB5F-4909-B584-7A3B35C75519}" uniqueName="13" name="Per day Salary" queryTableFieldId="13"/>
    <tableColumn id="14" xr3:uid="{9F5434F6-726D-4EB7-941A-6048996DA3A4}" uniqueName="14" name="HRA" queryTableFieldId="14"/>
    <tableColumn id="15" xr3:uid="{E79DD093-FCC2-4437-B8FA-7E6860C7FAEE}" uniqueName="15" name="PF" queryTableFieldId="15"/>
    <tableColumn id="16" xr3:uid="{351369F7-AEF9-4127-BB99-5997875234BE}" uniqueName="16" name="Total Amount" queryTableFieldId="16"/>
    <tableColumn id="17" xr3:uid="{45830650-DC92-412E-BD1F-8AA0B3FA3C22}" uniqueName="17" name="In hand Amount" queryTableFieldId="1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091D56-00BA-4383-A4B0-1BD34BE1A540}" name="MarReport" displayName="MarReport" ref="A1:Q13" tableType="queryTable" totalsRowShown="0">
  <autoFilter ref="A1:Q13" xr:uid="{54091D56-00BA-4383-A4B0-1BD34BE1A540}"/>
  <tableColumns count="17">
    <tableColumn id="1" xr3:uid="{C575419C-EB66-4B5D-8C07-202DBB913C7E}" uniqueName="1" name="Emp ID" queryTableFieldId="1" dataDxfId="9"/>
    <tableColumn id="2" xr3:uid="{37B96D75-2393-4543-BB26-E4ED9063AC7F}" uniqueName="2" name="Name" queryTableFieldId="2" dataDxfId="8"/>
    <tableColumn id="3" xr3:uid="{E3E3BE0B-2749-4FCB-BD1D-FD1AAD801355}" uniqueName="3" name="Month" queryTableFieldId="3" dataDxfId="7"/>
    <tableColumn id="4" xr3:uid="{C57335E2-82BA-47AB-96EE-C7F7B7AE3D75}" uniqueName="4" name="Designation" queryTableFieldId="4" dataDxfId="6"/>
    <tableColumn id="5" xr3:uid="{F5701375-41F9-4279-9FF9-AECA756A24D3}" uniqueName="5" name="Presence" queryTableFieldId="5"/>
    <tableColumn id="6" xr3:uid="{D1B6FE94-DDE8-4585-BE36-6A9F2D27AE2B}" uniqueName="6" name="Absence" queryTableFieldId="6"/>
    <tableColumn id="7" xr3:uid="{F5F71792-799C-451C-8E32-68DE33FC0C91}" uniqueName="7" name="Leave" queryTableFieldId="7"/>
    <tableColumn id="8" xr3:uid="{5C39AE60-1CFA-4034-8870-863C12FA030A}" uniqueName="8" name="holiday" queryTableFieldId="8"/>
    <tableColumn id="9" xr3:uid="{286DCBEE-C7B2-495E-A52D-739CF1F78319}" uniqueName="9" name="Week off" queryTableFieldId="9"/>
    <tableColumn id="10" xr3:uid="{05032B13-8ACE-414B-B7E9-ADECC6DBE889}" uniqueName="10" name="Total Days in Month" queryTableFieldId="10"/>
    <tableColumn id="11" xr3:uid="{D0FCEC7D-0B09-4745-B6AD-B6443C51B92C}" uniqueName="11" name="Total Payable Days" queryTableFieldId="11"/>
    <tableColumn id="12" xr3:uid="{62F24C54-B1E6-4B1E-943E-EF43725199E3}" uniqueName="12" name="Basic Salary" queryTableFieldId="12"/>
    <tableColumn id="13" xr3:uid="{FB76DC73-E99C-43ED-94C3-00C4594713A7}" uniqueName="13" name="Per day Salary" queryTableFieldId="13"/>
    <tableColumn id="14" xr3:uid="{4E400BD0-85FB-45B3-BFDC-92E0BA402282}" uniqueName="14" name="HRA" queryTableFieldId="14"/>
    <tableColumn id="15" xr3:uid="{A62A5A03-7E0B-4642-8ACC-1F382C80A24E}" uniqueName="15" name="PF" queryTableFieldId="15"/>
    <tableColumn id="16" xr3:uid="{8D1A8DB5-ECED-4069-BAAB-C0A53BB5F6C7}" uniqueName="16" name="Total Amount" queryTableFieldId="16"/>
    <tableColumn id="17" xr3:uid="{98220D63-905B-47D9-829E-B51864AC06C6}" uniqueName="17" name="In hand Amount" queryTableFieldId="1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F8124B-1E6C-40D5-96D7-92AA2B2B64B4}" name="FebReport" displayName="FebReport" ref="A1:Q13" tableType="queryTable" totalsRowShown="0">
  <autoFilter ref="A1:Q13" xr:uid="{BAF8124B-1E6C-40D5-96D7-92AA2B2B64B4}"/>
  <tableColumns count="17">
    <tableColumn id="1" xr3:uid="{181878EE-CC84-4DC8-833B-196CBC5B5792}" uniqueName="1" name="Emp ID" queryTableFieldId="1" dataDxfId="5"/>
    <tableColumn id="2" xr3:uid="{526A99F2-1600-468B-959C-D5B02832BCBE}" uniqueName="2" name="Name" queryTableFieldId="2" dataDxfId="4"/>
    <tableColumn id="3" xr3:uid="{DD490203-909B-4AAC-A6FB-CB642A87B4B7}" uniqueName="3" name="Month" queryTableFieldId="3" dataDxfId="3"/>
    <tableColumn id="4" xr3:uid="{DEC26291-FDA1-4629-83FE-A7D72C388222}" uniqueName="4" name="Designation" queryTableFieldId="4" dataDxfId="2"/>
    <tableColumn id="5" xr3:uid="{7A0E1E8A-2C7B-42E2-AE2A-9A55772781D6}" uniqueName="5" name="Presence" queryTableFieldId="5"/>
    <tableColumn id="6" xr3:uid="{12E3BC2B-CD18-4E39-B038-6AB4526C77B1}" uniqueName="6" name="Absence" queryTableFieldId="6"/>
    <tableColumn id="7" xr3:uid="{6EE479A1-E39B-4F9A-998A-EA59CFBEDEF8}" uniqueName="7" name="Leave" queryTableFieldId="7"/>
    <tableColumn id="8" xr3:uid="{A9B97EE4-28A0-4BDA-9E61-9088D21EAF55}" uniqueName="8" name="holiday" queryTableFieldId="8"/>
    <tableColumn id="9" xr3:uid="{7A326E75-6C97-4490-9738-D75C422F1B93}" uniqueName="9" name="Week off" queryTableFieldId="9"/>
    <tableColumn id="10" xr3:uid="{E150B6BC-206D-4BA8-8EAC-319345DCDDCA}" uniqueName="10" name="Total Days in Month" queryTableFieldId="10"/>
    <tableColumn id="11" xr3:uid="{E7081F20-98CE-4EB1-8193-61C7BC4E867A}" uniqueName="11" name="Total Payable Days" queryTableFieldId="11"/>
    <tableColumn id="12" xr3:uid="{5E63525B-7A4D-4D51-B7EA-44B9AB1F7810}" uniqueName="12" name="Basic Salary" queryTableFieldId="12"/>
    <tableColumn id="13" xr3:uid="{1898B0E8-9D71-4A5F-8BBA-5473EEA8A4C6}" uniqueName="13" name="Per day Salary" queryTableFieldId="13"/>
    <tableColumn id="14" xr3:uid="{F0B963DD-9C65-4AD7-BA67-8C63971842CA}" uniqueName="14" name="HRA" queryTableFieldId="14"/>
    <tableColumn id="15" xr3:uid="{7851F5E4-3F69-4E77-B48D-213F42298C27}" uniqueName="15" name="PF" queryTableFieldId="15"/>
    <tableColumn id="16" xr3:uid="{71F23C7D-BF13-4827-A20D-09511DB6BEC6}" uniqueName="16" name="Total Amount" queryTableFieldId="16"/>
    <tableColumn id="17" xr3:uid="{479ADB3F-9278-45C5-982C-CCE81D57093C}" uniqueName="17" name="In hand Amount" queryTableFieldId="1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4C31542-023F-4984-B633-17D3917013D8}" name="JanReport" displayName="JanReport" ref="A1:R133" totalsRowShown="0">
  <autoFilter ref="A1:R133" xr:uid="{74C31542-023F-4984-B633-17D3917013D8}"/>
  <tableColumns count="18">
    <tableColumn id="1" xr3:uid="{1C0BB70B-342F-4FA1-AD56-4700F14F42C7}" name="Emp ID"/>
    <tableColumn id="2" xr3:uid="{8F13E8D1-D137-4511-B42A-169EA1CB47BB}" name="Name"/>
    <tableColumn id="3" xr3:uid="{26535209-F6B0-44B0-81D7-4065D643E030}" name="Month"/>
    <tableColumn id="4" xr3:uid="{90C521AB-6FA3-4BE2-BECC-9000E326255A}" name="Designation"/>
    <tableColumn id="5" xr3:uid="{EAD69139-F952-4DB9-9C09-20155DFEF10C}" name="Presence"/>
    <tableColumn id="6" xr3:uid="{3587F7C9-7B86-4A26-A361-9673FBFB3E3C}" name="Absence"/>
    <tableColumn id="7" xr3:uid="{4E23EAC7-5206-4F6D-BF20-EBD16A118888}" name="Leave"/>
    <tableColumn id="8" xr3:uid="{3CED0A82-5C95-4AAB-9551-FC1AE9B9DEF2}" name="holiday"/>
    <tableColumn id="9" xr3:uid="{F646E55E-E5C8-4077-B42B-8F1811B73B02}" name="Week off"/>
    <tableColumn id="10" xr3:uid="{1BF62C4D-8C13-49F0-BE96-EED6A7C00F55}" name="Total Days in Month"/>
    <tableColumn id="11" xr3:uid="{D749D2C0-476C-46F4-AA52-F1450F97A05B}" name="Total Payable Days"/>
    <tableColumn id="12" xr3:uid="{76C13C82-C13E-4D9E-9874-6670811018ED}" name="Basic Salary"/>
    <tableColumn id="13" xr3:uid="{2A57E211-C337-4E8F-8FF3-62D40AC219CB}" name="Per day Salary"/>
    <tableColumn id="14" xr3:uid="{4B6013CE-AFA3-49F8-96F7-8A0896190D08}" name="HRA"/>
    <tableColumn id="15" xr3:uid="{5D2B8BE0-66D6-4EA1-9554-77CF352D10F0}" name="PF"/>
    <tableColumn id="16" xr3:uid="{2A3A3792-C9C9-45E7-B3B3-62CCF77D7081}" name="Total Amount"/>
    <tableColumn id="17" xr3:uid="{3803B38E-C449-4217-93EF-E178EC4799A9}" name="In hand Amount"/>
    <tableColumn id="18" xr3:uid="{26CAE914-93A8-4320-8269-A27451FC3CB9}" name="Sparkli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F028-0CB7-459F-A8CB-8B38FEBC7AC5}">
  <dimension ref="A1:Q12"/>
  <sheetViews>
    <sheetView workbookViewId="0"/>
  </sheetViews>
  <sheetFormatPr defaultRowHeight="14.4" x14ac:dyDescent="0.3"/>
  <cols>
    <col min="1" max="1" width="9.21875" bestFit="1" customWidth="1"/>
    <col min="2" max="2" width="15.88671875" bestFit="1" customWidth="1"/>
    <col min="3" max="3" width="9.33203125"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50</v>
      </c>
      <c r="D2" t="s">
        <v>20</v>
      </c>
      <c r="E2">
        <v>23</v>
      </c>
      <c r="F2">
        <v>2</v>
      </c>
      <c r="G2">
        <v>2</v>
      </c>
      <c r="H2">
        <v>1</v>
      </c>
      <c r="I2">
        <v>4</v>
      </c>
      <c r="J2">
        <v>31</v>
      </c>
      <c r="K2">
        <v>29</v>
      </c>
      <c r="L2">
        <v>70000</v>
      </c>
      <c r="M2">
        <v>2258.0645161290322</v>
      </c>
      <c r="N2">
        <v>7000</v>
      </c>
      <c r="O2">
        <v>5600</v>
      </c>
      <c r="P2">
        <v>72483.870967741939</v>
      </c>
      <c r="Q2">
        <v>66883.870967741939</v>
      </c>
    </row>
    <row r="3" spans="1:17" x14ac:dyDescent="0.3">
      <c r="A3" t="s">
        <v>21</v>
      </c>
      <c r="B3" t="s">
        <v>22</v>
      </c>
      <c r="C3" t="s">
        <v>50</v>
      </c>
      <c r="D3" t="s">
        <v>23</v>
      </c>
      <c r="E3">
        <v>23</v>
      </c>
      <c r="F3">
        <v>2</v>
      </c>
      <c r="G3">
        <v>2</v>
      </c>
      <c r="H3">
        <v>1</v>
      </c>
      <c r="I3">
        <v>4</v>
      </c>
      <c r="J3">
        <v>31</v>
      </c>
      <c r="K3">
        <v>29</v>
      </c>
      <c r="L3">
        <v>40000</v>
      </c>
      <c r="M3">
        <v>1290.3225806451612</v>
      </c>
      <c r="N3">
        <v>4000</v>
      </c>
      <c r="O3">
        <v>3200</v>
      </c>
      <c r="P3">
        <v>41419.354838709674</v>
      </c>
      <c r="Q3">
        <v>38219.354838709674</v>
      </c>
    </row>
    <row r="4" spans="1:17" x14ac:dyDescent="0.3">
      <c r="A4" t="s">
        <v>24</v>
      </c>
      <c r="B4" t="s">
        <v>25</v>
      </c>
      <c r="C4" t="s">
        <v>50</v>
      </c>
      <c r="D4" t="s">
        <v>26</v>
      </c>
      <c r="E4">
        <v>24</v>
      </c>
      <c r="F4">
        <v>1</v>
      </c>
      <c r="G4">
        <v>2</v>
      </c>
      <c r="H4">
        <v>1</v>
      </c>
      <c r="I4">
        <v>4</v>
      </c>
      <c r="J4">
        <v>31</v>
      </c>
      <c r="K4">
        <v>30</v>
      </c>
      <c r="L4">
        <v>50000</v>
      </c>
      <c r="M4">
        <v>1612.9032258064517</v>
      </c>
      <c r="N4">
        <v>5000</v>
      </c>
      <c r="O4">
        <v>4000</v>
      </c>
      <c r="P4">
        <v>53387.096774193553</v>
      </c>
      <c r="Q4">
        <v>49387.096774193553</v>
      </c>
    </row>
    <row r="5" spans="1:17" x14ac:dyDescent="0.3">
      <c r="A5" t="s">
        <v>27</v>
      </c>
      <c r="B5" t="s">
        <v>28</v>
      </c>
      <c r="C5" t="s">
        <v>50</v>
      </c>
      <c r="D5" t="s">
        <v>23</v>
      </c>
      <c r="E5">
        <v>25</v>
      </c>
      <c r="F5">
        <v>0</v>
      </c>
      <c r="G5">
        <v>2</v>
      </c>
      <c r="H5">
        <v>1</v>
      </c>
      <c r="I5">
        <v>4</v>
      </c>
      <c r="J5">
        <v>31</v>
      </c>
      <c r="K5">
        <v>31</v>
      </c>
      <c r="L5">
        <v>40000</v>
      </c>
      <c r="M5">
        <v>1290.3225806451612</v>
      </c>
      <c r="N5">
        <v>4000</v>
      </c>
      <c r="O5">
        <v>3200</v>
      </c>
      <c r="P5">
        <v>44000</v>
      </c>
      <c r="Q5">
        <v>40800</v>
      </c>
    </row>
    <row r="6" spans="1:17" x14ac:dyDescent="0.3">
      <c r="A6" t="s">
        <v>29</v>
      </c>
      <c r="B6" t="s">
        <v>30</v>
      </c>
      <c r="C6" t="s">
        <v>50</v>
      </c>
      <c r="D6" t="s">
        <v>31</v>
      </c>
      <c r="E6">
        <v>24</v>
      </c>
      <c r="F6">
        <v>1</v>
      </c>
      <c r="G6">
        <v>2</v>
      </c>
      <c r="H6">
        <v>1</v>
      </c>
      <c r="I6">
        <v>4</v>
      </c>
      <c r="J6">
        <v>31</v>
      </c>
      <c r="K6">
        <v>30</v>
      </c>
      <c r="L6">
        <v>25000</v>
      </c>
      <c r="M6">
        <v>806.45161290322585</v>
      </c>
      <c r="N6">
        <v>2500</v>
      </c>
      <c r="O6">
        <v>2000</v>
      </c>
      <c r="P6">
        <v>26693.548387096776</v>
      </c>
      <c r="Q6">
        <v>24693.548387096776</v>
      </c>
    </row>
    <row r="7" spans="1:17" x14ac:dyDescent="0.3">
      <c r="A7" t="s">
        <v>32</v>
      </c>
      <c r="B7" t="s">
        <v>33</v>
      </c>
      <c r="C7" t="s">
        <v>50</v>
      </c>
      <c r="D7" t="s">
        <v>31</v>
      </c>
      <c r="E7">
        <v>24</v>
      </c>
      <c r="F7">
        <v>1</v>
      </c>
      <c r="G7">
        <v>2</v>
      </c>
      <c r="H7">
        <v>1</v>
      </c>
      <c r="I7">
        <v>4</v>
      </c>
      <c r="J7">
        <v>31</v>
      </c>
      <c r="K7">
        <v>30</v>
      </c>
      <c r="L7">
        <v>25000</v>
      </c>
      <c r="M7">
        <v>806.45161290322585</v>
      </c>
      <c r="N7">
        <v>2500</v>
      </c>
      <c r="O7">
        <v>2000</v>
      </c>
      <c r="P7">
        <v>26693.548387096776</v>
      </c>
      <c r="Q7">
        <v>24693.548387096776</v>
      </c>
    </row>
    <row r="8" spans="1:17" x14ac:dyDescent="0.3">
      <c r="A8" t="s">
        <v>34</v>
      </c>
      <c r="B8" t="s">
        <v>35</v>
      </c>
      <c r="C8" t="s">
        <v>50</v>
      </c>
      <c r="D8" t="s">
        <v>36</v>
      </c>
      <c r="E8">
        <v>24</v>
      </c>
      <c r="F8">
        <v>1</v>
      </c>
      <c r="G8">
        <v>2</v>
      </c>
      <c r="H8">
        <v>1</v>
      </c>
      <c r="I8">
        <v>4</v>
      </c>
      <c r="J8">
        <v>31</v>
      </c>
      <c r="K8">
        <v>30</v>
      </c>
      <c r="L8">
        <v>30000</v>
      </c>
      <c r="M8">
        <v>967.74193548387098</v>
      </c>
      <c r="N8">
        <v>3000</v>
      </c>
      <c r="O8">
        <v>2400</v>
      </c>
      <c r="P8">
        <v>32032.258064516129</v>
      </c>
      <c r="Q8">
        <v>29632.258064516129</v>
      </c>
    </row>
    <row r="9" spans="1:17" x14ac:dyDescent="0.3">
      <c r="A9" t="s">
        <v>37</v>
      </c>
      <c r="B9" t="s">
        <v>38</v>
      </c>
      <c r="C9" t="s">
        <v>50</v>
      </c>
      <c r="D9" t="s">
        <v>20</v>
      </c>
      <c r="E9">
        <v>23</v>
      </c>
      <c r="F9">
        <v>2</v>
      </c>
      <c r="G9">
        <v>2</v>
      </c>
      <c r="H9">
        <v>1</v>
      </c>
      <c r="I9">
        <v>4</v>
      </c>
      <c r="J9">
        <v>31</v>
      </c>
      <c r="K9">
        <v>29</v>
      </c>
      <c r="L9">
        <v>70000</v>
      </c>
      <c r="M9">
        <v>2258.0645161290322</v>
      </c>
      <c r="N9">
        <v>7000</v>
      </c>
      <c r="O9">
        <v>5600</v>
      </c>
      <c r="P9">
        <v>72483.870967741939</v>
      </c>
      <c r="Q9">
        <v>66883.870967741939</v>
      </c>
    </row>
    <row r="10" spans="1:17" x14ac:dyDescent="0.3">
      <c r="A10" t="s">
        <v>39</v>
      </c>
      <c r="B10" t="s">
        <v>40</v>
      </c>
      <c r="C10" t="s">
        <v>50</v>
      </c>
      <c r="D10" t="s">
        <v>26</v>
      </c>
      <c r="E10">
        <v>24</v>
      </c>
      <c r="F10">
        <v>1</v>
      </c>
      <c r="G10">
        <v>2</v>
      </c>
      <c r="H10">
        <v>1</v>
      </c>
      <c r="I10">
        <v>4</v>
      </c>
      <c r="J10">
        <v>31</v>
      </c>
      <c r="K10">
        <v>30</v>
      </c>
      <c r="L10">
        <v>50000</v>
      </c>
      <c r="M10">
        <v>1612.9032258064517</v>
      </c>
      <c r="N10">
        <v>5000</v>
      </c>
      <c r="O10">
        <v>4000</v>
      </c>
      <c r="P10">
        <v>53387.096774193553</v>
      </c>
      <c r="Q10">
        <v>49387.096774193553</v>
      </c>
    </row>
    <row r="11" spans="1:17" x14ac:dyDescent="0.3">
      <c r="A11" t="s">
        <v>41</v>
      </c>
      <c r="B11" t="s">
        <v>42</v>
      </c>
      <c r="C11" t="s">
        <v>50</v>
      </c>
      <c r="D11" t="s">
        <v>43</v>
      </c>
      <c r="E11">
        <v>24</v>
      </c>
      <c r="F11">
        <v>1</v>
      </c>
      <c r="G11">
        <v>2</v>
      </c>
      <c r="H11">
        <v>1</v>
      </c>
      <c r="I11">
        <v>4</v>
      </c>
      <c r="J11">
        <v>31</v>
      </c>
      <c r="K11">
        <v>30</v>
      </c>
      <c r="L11">
        <v>12000</v>
      </c>
      <c r="M11">
        <v>387.09677419354841</v>
      </c>
      <c r="N11">
        <v>1200</v>
      </c>
      <c r="O11">
        <v>960</v>
      </c>
      <c r="P11">
        <v>12812.903225806453</v>
      </c>
      <c r="Q11">
        <v>11852.903225806453</v>
      </c>
    </row>
    <row r="12" spans="1:17" x14ac:dyDescent="0.3">
      <c r="A12" t="s">
        <v>44</v>
      </c>
      <c r="B12" t="s">
        <v>45</v>
      </c>
      <c r="C12" t="s">
        <v>50</v>
      </c>
      <c r="D12" t="s">
        <v>43</v>
      </c>
      <c r="E12">
        <v>23</v>
      </c>
      <c r="F12">
        <v>2</v>
      </c>
      <c r="G12">
        <v>2</v>
      </c>
      <c r="H12">
        <v>1</v>
      </c>
      <c r="I12">
        <v>4</v>
      </c>
      <c r="J12">
        <v>31</v>
      </c>
      <c r="K12">
        <v>29</v>
      </c>
      <c r="L12">
        <v>12000</v>
      </c>
      <c r="M12">
        <v>387.09677419354841</v>
      </c>
      <c r="N12">
        <v>1200</v>
      </c>
      <c r="O12">
        <v>960</v>
      </c>
      <c r="P12">
        <v>12425.806451612903</v>
      </c>
      <c r="Q12">
        <v>11465.806451612903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51EF-B08C-4C04-A624-5C1A579B95EE}">
  <dimension ref="A1:Q12"/>
  <sheetViews>
    <sheetView workbookViewId="0"/>
  </sheetViews>
  <sheetFormatPr defaultRowHeight="14.4" x14ac:dyDescent="0.3"/>
  <cols>
    <col min="1" max="1" width="9.21875" bestFit="1" customWidth="1"/>
    <col min="2" max="2" width="15.88671875" bestFit="1" customWidth="1"/>
    <col min="3" max="3" width="9.5546875"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49</v>
      </c>
      <c r="D2" t="s">
        <v>20</v>
      </c>
      <c r="E2">
        <v>22</v>
      </c>
      <c r="F2">
        <v>1</v>
      </c>
      <c r="G2">
        <v>2</v>
      </c>
      <c r="H2">
        <v>2</v>
      </c>
      <c r="I2">
        <v>3</v>
      </c>
      <c r="J2">
        <v>30</v>
      </c>
      <c r="K2">
        <v>27</v>
      </c>
      <c r="L2">
        <v>70000</v>
      </c>
      <c r="M2">
        <v>2333.3333333333335</v>
      </c>
      <c r="N2">
        <v>7000</v>
      </c>
      <c r="O2">
        <v>5600</v>
      </c>
      <c r="P2">
        <v>70000</v>
      </c>
      <c r="Q2">
        <v>64400</v>
      </c>
    </row>
    <row r="3" spans="1:17" x14ac:dyDescent="0.3">
      <c r="A3" t="s">
        <v>21</v>
      </c>
      <c r="B3" t="s">
        <v>22</v>
      </c>
      <c r="C3" t="s">
        <v>49</v>
      </c>
      <c r="D3" t="s">
        <v>23</v>
      </c>
      <c r="E3">
        <v>22</v>
      </c>
      <c r="F3">
        <v>1</v>
      </c>
      <c r="G3">
        <v>2</v>
      </c>
      <c r="H3">
        <v>2</v>
      </c>
      <c r="I3">
        <v>3</v>
      </c>
      <c r="J3">
        <v>30</v>
      </c>
      <c r="K3">
        <v>27</v>
      </c>
      <c r="L3">
        <v>40000</v>
      </c>
      <c r="M3">
        <v>1333.3333333333333</v>
      </c>
      <c r="N3">
        <v>4000</v>
      </c>
      <c r="O3">
        <v>3200</v>
      </c>
      <c r="P3">
        <v>40000</v>
      </c>
      <c r="Q3">
        <v>36800</v>
      </c>
    </row>
    <row r="4" spans="1:17" x14ac:dyDescent="0.3">
      <c r="A4" t="s">
        <v>24</v>
      </c>
      <c r="B4" t="s">
        <v>25</v>
      </c>
      <c r="C4" t="s">
        <v>49</v>
      </c>
      <c r="D4" t="s">
        <v>26</v>
      </c>
      <c r="E4">
        <v>22</v>
      </c>
      <c r="F4">
        <v>1</v>
      </c>
      <c r="G4">
        <v>2</v>
      </c>
      <c r="H4">
        <v>2</v>
      </c>
      <c r="I4">
        <v>3</v>
      </c>
      <c r="J4">
        <v>30</v>
      </c>
      <c r="K4">
        <v>27</v>
      </c>
      <c r="L4">
        <v>50000</v>
      </c>
      <c r="M4">
        <v>1666.6666666666667</v>
      </c>
      <c r="N4">
        <v>5000</v>
      </c>
      <c r="O4">
        <v>4000</v>
      </c>
      <c r="P4">
        <v>50000</v>
      </c>
      <c r="Q4">
        <v>46000</v>
      </c>
    </row>
    <row r="5" spans="1:17" x14ac:dyDescent="0.3">
      <c r="A5" t="s">
        <v>27</v>
      </c>
      <c r="B5" t="s">
        <v>28</v>
      </c>
      <c r="C5" t="s">
        <v>49</v>
      </c>
      <c r="D5" t="s">
        <v>23</v>
      </c>
      <c r="E5">
        <v>22</v>
      </c>
      <c r="F5">
        <v>1</v>
      </c>
      <c r="G5">
        <v>2</v>
      </c>
      <c r="H5">
        <v>2</v>
      </c>
      <c r="I5">
        <v>3</v>
      </c>
      <c r="J5">
        <v>30</v>
      </c>
      <c r="K5">
        <v>27</v>
      </c>
      <c r="L5">
        <v>40000</v>
      </c>
      <c r="M5">
        <v>1333.3333333333333</v>
      </c>
      <c r="N5">
        <v>4000</v>
      </c>
      <c r="O5">
        <v>3200</v>
      </c>
      <c r="P5">
        <v>40000</v>
      </c>
      <c r="Q5">
        <v>36800</v>
      </c>
    </row>
    <row r="6" spans="1:17" x14ac:dyDescent="0.3">
      <c r="A6" t="s">
        <v>29</v>
      </c>
      <c r="B6" t="s">
        <v>30</v>
      </c>
      <c r="C6" t="s">
        <v>49</v>
      </c>
      <c r="D6" t="s">
        <v>31</v>
      </c>
      <c r="E6">
        <v>22</v>
      </c>
      <c r="F6">
        <v>1</v>
      </c>
      <c r="G6">
        <v>2</v>
      </c>
      <c r="H6">
        <v>2</v>
      </c>
      <c r="I6">
        <v>3</v>
      </c>
      <c r="J6">
        <v>30</v>
      </c>
      <c r="K6">
        <v>27</v>
      </c>
      <c r="L6">
        <v>25000</v>
      </c>
      <c r="M6">
        <v>833.33333333333337</v>
      </c>
      <c r="N6">
        <v>2500</v>
      </c>
      <c r="O6">
        <v>2000</v>
      </c>
      <c r="P6">
        <v>25000</v>
      </c>
      <c r="Q6">
        <v>23000</v>
      </c>
    </row>
    <row r="7" spans="1:17" x14ac:dyDescent="0.3">
      <c r="A7" t="s">
        <v>32</v>
      </c>
      <c r="B7" t="s">
        <v>33</v>
      </c>
      <c r="C7" t="s">
        <v>49</v>
      </c>
      <c r="D7" t="s">
        <v>31</v>
      </c>
      <c r="E7">
        <v>22</v>
      </c>
      <c r="F7">
        <v>1</v>
      </c>
      <c r="G7">
        <v>2</v>
      </c>
      <c r="H7">
        <v>2</v>
      </c>
      <c r="I7">
        <v>3</v>
      </c>
      <c r="J7">
        <v>30</v>
      </c>
      <c r="K7">
        <v>27</v>
      </c>
      <c r="L7">
        <v>25000</v>
      </c>
      <c r="M7">
        <v>833.33333333333337</v>
      </c>
      <c r="N7">
        <v>2500</v>
      </c>
      <c r="O7">
        <v>2000</v>
      </c>
      <c r="P7">
        <v>25000</v>
      </c>
      <c r="Q7">
        <v>23000</v>
      </c>
    </row>
    <row r="8" spans="1:17" x14ac:dyDescent="0.3">
      <c r="A8" t="s">
        <v>34</v>
      </c>
      <c r="B8" t="s">
        <v>35</v>
      </c>
      <c r="C8" t="s">
        <v>49</v>
      </c>
      <c r="D8" t="s">
        <v>36</v>
      </c>
      <c r="E8">
        <v>21</v>
      </c>
      <c r="F8">
        <v>2</v>
      </c>
      <c r="G8">
        <v>2</v>
      </c>
      <c r="H8">
        <v>2</v>
      </c>
      <c r="I8">
        <v>3</v>
      </c>
      <c r="J8">
        <v>30</v>
      </c>
      <c r="K8">
        <v>26</v>
      </c>
      <c r="L8">
        <v>30000</v>
      </c>
      <c r="M8">
        <v>1000</v>
      </c>
      <c r="N8">
        <v>3000</v>
      </c>
      <c r="O8">
        <v>2400</v>
      </c>
      <c r="P8">
        <v>29000</v>
      </c>
      <c r="Q8">
        <v>26600</v>
      </c>
    </row>
    <row r="9" spans="1:17" x14ac:dyDescent="0.3">
      <c r="A9" t="s">
        <v>37</v>
      </c>
      <c r="B9" t="s">
        <v>38</v>
      </c>
      <c r="C9" t="s">
        <v>49</v>
      </c>
      <c r="D9" t="s">
        <v>20</v>
      </c>
      <c r="E9">
        <v>22</v>
      </c>
      <c r="F9">
        <v>1</v>
      </c>
      <c r="G9">
        <v>2</v>
      </c>
      <c r="H9">
        <v>2</v>
      </c>
      <c r="I9">
        <v>3</v>
      </c>
      <c r="J9">
        <v>30</v>
      </c>
      <c r="K9">
        <v>27</v>
      </c>
      <c r="L9">
        <v>70000</v>
      </c>
      <c r="M9">
        <v>2333.3333333333335</v>
      </c>
      <c r="N9">
        <v>7000</v>
      </c>
      <c r="O9">
        <v>5600</v>
      </c>
      <c r="P9">
        <v>70000</v>
      </c>
      <c r="Q9">
        <v>64400</v>
      </c>
    </row>
    <row r="10" spans="1:17" x14ac:dyDescent="0.3">
      <c r="A10" t="s">
        <v>39</v>
      </c>
      <c r="B10" t="s">
        <v>40</v>
      </c>
      <c r="C10" t="s">
        <v>49</v>
      </c>
      <c r="D10" t="s">
        <v>26</v>
      </c>
      <c r="E10">
        <v>22</v>
      </c>
      <c r="F10">
        <v>1</v>
      </c>
      <c r="G10">
        <v>2</v>
      </c>
      <c r="H10">
        <v>2</v>
      </c>
      <c r="I10">
        <v>3</v>
      </c>
      <c r="J10">
        <v>30</v>
      </c>
      <c r="K10">
        <v>27</v>
      </c>
      <c r="L10">
        <v>50000</v>
      </c>
      <c r="M10">
        <v>1666.6666666666667</v>
      </c>
      <c r="N10">
        <v>5000</v>
      </c>
      <c r="O10">
        <v>4000</v>
      </c>
      <c r="P10">
        <v>50000</v>
      </c>
      <c r="Q10">
        <v>46000</v>
      </c>
    </row>
    <row r="11" spans="1:17" x14ac:dyDescent="0.3">
      <c r="A11" t="s">
        <v>41</v>
      </c>
      <c r="B11" t="s">
        <v>42</v>
      </c>
      <c r="C11" t="s">
        <v>49</v>
      </c>
      <c r="D11" t="s">
        <v>43</v>
      </c>
      <c r="E11">
        <v>22</v>
      </c>
      <c r="F11">
        <v>1</v>
      </c>
      <c r="G11">
        <v>2</v>
      </c>
      <c r="H11">
        <v>2</v>
      </c>
      <c r="I11">
        <v>3</v>
      </c>
      <c r="J11">
        <v>30</v>
      </c>
      <c r="K11">
        <v>27</v>
      </c>
      <c r="L11">
        <v>12000</v>
      </c>
      <c r="M11">
        <v>400</v>
      </c>
      <c r="N11">
        <v>1200</v>
      </c>
      <c r="O11">
        <v>960</v>
      </c>
      <c r="P11">
        <v>12000</v>
      </c>
      <c r="Q11">
        <v>11040</v>
      </c>
    </row>
    <row r="12" spans="1:17" x14ac:dyDescent="0.3">
      <c r="A12" t="s">
        <v>44</v>
      </c>
      <c r="B12" t="s">
        <v>45</v>
      </c>
      <c r="C12" t="s">
        <v>49</v>
      </c>
      <c r="D12" t="s">
        <v>43</v>
      </c>
      <c r="E12">
        <v>22</v>
      </c>
      <c r="F12">
        <v>1</v>
      </c>
      <c r="G12">
        <v>2</v>
      </c>
      <c r="H12">
        <v>2</v>
      </c>
      <c r="I12">
        <v>3</v>
      </c>
      <c r="J12">
        <v>30</v>
      </c>
      <c r="K12">
        <v>27</v>
      </c>
      <c r="L12">
        <v>12000</v>
      </c>
      <c r="M12">
        <v>400</v>
      </c>
      <c r="N12">
        <v>1200</v>
      </c>
      <c r="O12">
        <v>960</v>
      </c>
      <c r="P12">
        <v>12000</v>
      </c>
      <c r="Q12">
        <v>11040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1CEF-0578-45BE-AE1F-5E332A717BED}">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48</v>
      </c>
      <c r="D2" t="s">
        <v>20</v>
      </c>
      <c r="E2">
        <v>22</v>
      </c>
      <c r="F2">
        <v>1</v>
      </c>
      <c r="G2">
        <v>4</v>
      </c>
      <c r="H2">
        <v>2</v>
      </c>
      <c r="I2">
        <v>4</v>
      </c>
      <c r="J2">
        <v>31</v>
      </c>
      <c r="K2">
        <v>30</v>
      </c>
      <c r="L2">
        <v>70000</v>
      </c>
      <c r="M2">
        <v>2258.0645161290322</v>
      </c>
      <c r="N2">
        <v>7000</v>
      </c>
      <c r="O2">
        <v>5600</v>
      </c>
      <c r="P2">
        <v>74741.93548387097</v>
      </c>
      <c r="Q2">
        <v>69141.93548387097</v>
      </c>
    </row>
    <row r="3" spans="1:17" x14ac:dyDescent="0.3">
      <c r="A3" t="s">
        <v>21</v>
      </c>
      <c r="B3" t="s">
        <v>22</v>
      </c>
      <c r="C3" t="s">
        <v>48</v>
      </c>
      <c r="D3" t="s">
        <v>23</v>
      </c>
      <c r="E3">
        <v>23</v>
      </c>
      <c r="F3">
        <v>0</v>
      </c>
      <c r="G3">
        <v>4</v>
      </c>
      <c r="H3">
        <v>2</v>
      </c>
      <c r="I3">
        <v>4</v>
      </c>
      <c r="J3">
        <v>31</v>
      </c>
      <c r="K3">
        <v>31</v>
      </c>
      <c r="L3">
        <v>40000</v>
      </c>
      <c r="M3">
        <v>1290.3225806451612</v>
      </c>
      <c r="N3">
        <v>4000</v>
      </c>
      <c r="O3">
        <v>3200</v>
      </c>
      <c r="P3">
        <v>44000</v>
      </c>
      <c r="Q3">
        <v>40800</v>
      </c>
    </row>
    <row r="4" spans="1:17" x14ac:dyDescent="0.3">
      <c r="A4" t="s">
        <v>24</v>
      </c>
      <c r="B4" t="s">
        <v>25</v>
      </c>
      <c r="C4" t="s">
        <v>48</v>
      </c>
      <c r="D4" t="s">
        <v>26</v>
      </c>
      <c r="E4">
        <v>21</v>
      </c>
      <c r="F4">
        <v>2</v>
      </c>
      <c r="G4">
        <v>4</v>
      </c>
      <c r="H4">
        <v>2</v>
      </c>
      <c r="I4">
        <v>4</v>
      </c>
      <c r="J4">
        <v>31</v>
      </c>
      <c r="K4">
        <v>29</v>
      </c>
      <c r="L4">
        <v>50000</v>
      </c>
      <c r="M4">
        <v>1612.9032258064517</v>
      </c>
      <c r="N4">
        <v>5000</v>
      </c>
      <c r="O4">
        <v>4000</v>
      </c>
      <c r="P4">
        <v>51774.193548387098</v>
      </c>
      <c r="Q4">
        <v>47774.193548387098</v>
      </c>
    </row>
    <row r="5" spans="1:17" x14ac:dyDescent="0.3">
      <c r="A5" t="s">
        <v>27</v>
      </c>
      <c r="B5" t="s">
        <v>28</v>
      </c>
      <c r="C5" t="s">
        <v>48</v>
      </c>
      <c r="D5" t="s">
        <v>23</v>
      </c>
      <c r="E5">
        <v>23</v>
      </c>
      <c r="F5">
        <v>0</v>
      </c>
      <c r="G5">
        <v>4</v>
      </c>
      <c r="H5">
        <v>2</v>
      </c>
      <c r="I5">
        <v>4</v>
      </c>
      <c r="J5">
        <v>31</v>
      </c>
      <c r="K5">
        <v>31</v>
      </c>
      <c r="L5">
        <v>40000</v>
      </c>
      <c r="M5">
        <v>1290.3225806451612</v>
      </c>
      <c r="N5">
        <v>4000</v>
      </c>
      <c r="O5">
        <v>3200</v>
      </c>
      <c r="P5">
        <v>44000</v>
      </c>
      <c r="Q5">
        <v>40800</v>
      </c>
    </row>
    <row r="6" spans="1:17" x14ac:dyDescent="0.3">
      <c r="A6" t="s">
        <v>29</v>
      </c>
      <c r="B6" t="s">
        <v>30</v>
      </c>
      <c r="C6" t="s">
        <v>48</v>
      </c>
      <c r="D6" t="s">
        <v>31</v>
      </c>
      <c r="E6">
        <v>22</v>
      </c>
      <c r="F6">
        <v>1</v>
      </c>
      <c r="G6">
        <v>4</v>
      </c>
      <c r="H6">
        <v>2</v>
      </c>
      <c r="I6">
        <v>4</v>
      </c>
      <c r="J6">
        <v>31</v>
      </c>
      <c r="K6">
        <v>30</v>
      </c>
      <c r="L6">
        <v>25000</v>
      </c>
      <c r="M6">
        <v>806.45161290322585</v>
      </c>
      <c r="N6">
        <v>2500</v>
      </c>
      <c r="O6">
        <v>2000</v>
      </c>
      <c r="P6">
        <v>26693.548387096776</v>
      </c>
      <c r="Q6">
        <v>24693.548387096776</v>
      </c>
    </row>
    <row r="7" spans="1:17" x14ac:dyDescent="0.3">
      <c r="A7" t="s">
        <v>32</v>
      </c>
      <c r="B7" t="s">
        <v>33</v>
      </c>
      <c r="C7" t="s">
        <v>48</v>
      </c>
      <c r="D7" t="s">
        <v>31</v>
      </c>
      <c r="E7">
        <v>22</v>
      </c>
      <c r="F7">
        <v>1</v>
      </c>
      <c r="G7">
        <v>4</v>
      </c>
      <c r="H7">
        <v>2</v>
      </c>
      <c r="I7">
        <v>4</v>
      </c>
      <c r="J7">
        <v>31</v>
      </c>
      <c r="K7">
        <v>30</v>
      </c>
      <c r="L7">
        <v>25000</v>
      </c>
      <c r="M7">
        <v>806.45161290322585</v>
      </c>
      <c r="N7">
        <v>2500</v>
      </c>
      <c r="O7">
        <v>2000</v>
      </c>
      <c r="P7">
        <v>26693.548387096776</v>
      </c>
      <c r="Q7">
        <v>24693.548387096776</v>
      </c>
    </row>
    <row r="8" spans="1:17" x14ac:dyDescent="0.3">
      <c r="A8" t="s">
        <v>34</v>
      </c>
      <c r="B8" t="s">
        <v>35</v>
      </c>
      <c r="C8" t="s">
        <v>48</v>
      </c>
      <c r="D8" t="s">
        <v>36</v>
      </c>
      <c r="E8">
        <v>22</v>
      </c>
      <c r="F8">
        <v>1</v>
      </c>
      <c r="G8">
        <v>4</v>
      </c>
      <c r="H8">
        <v>2</v>
      </c>
      <c r="I8">
        <v>4</v>
      </c>
      <c r="J8">
        <v>31</v>
      </c>
      <c r="K8">
        <v>30</v>
      </c>
      <c r="L8">
        <v>30000</v>
      </c>
      <c r="M8">
        <v>967.74193548387098</v>
      </c>
      <c r="N8">
        <v>3000</v>
      </c>
      <c r="O8">
        <v>2400</v>
      </c>
      <c r="P8">
        <v>32032.258064516129</v>
      </c>
      <c r="Q8">
        <v>29632.258064516129</v>
      </c>
    </row>
    <row r="9" spans="1:17" x14ac:dyDescent="0.3">
      <c r="A9" t="s">
        <v>37</v>
      </c>
      <c r="B9" t="s">
        <v>38</v>
      </c>
      <c r="C9" t="s">
        <v>48</v>
      </c>
      <c r="D9" t="s">
        <v>20</v>
      </c>
      <c r="E9">
        <v>23</v>
      </c>
      <c r="F9">
        <v>0</v>
      </c>
      <c r="G9">
        <v>4</v>
      </c>
      <c r="H9">
        <v>2</v>
      </c>
      <c r="I9">
        <v>4</v>
      </c>
      <c r="J9">
        <v>31</v>
      </c>
      <c r="K9">
        <v>31</v>
      </c>
      <c r="L9">
        <v>70000</v>
      </c>
      <c r="M9">
        <v>2258.0645161290322</v>
      </c>
      <c r="N9">
        <v>7000</v>
      </c>
      <c r="O9">
        <v>5600</v>
      </c>
      <c r="P9">
        <v>77000</v>
      </c>
      <c r="Q9">
        <v>71400</v>
      </c>
    </row>
    <row r="10" spans="1:17" x14ac:dyDescent="0.3">
      <c r="A10" t="s">
        <v>39</v>
      </c>
      <c r="B10" t="s">
        <v>40</v>
      </c>
      <c r="C10" t="s">
        <v>48</v>
      </c>
      <c r="D10" t="s">
        <v>26</v>
      </c>
      <c r="E10">
        <v>22</v>
      </c>
      <c r="F10">
        <v>1</v>
      </c>
      <c r="G10">
        <v>4</v>
      </c>
      <c r="H10">
        <v>2</v>
      </c>
      <c r="I10">
        <v>4</v>
      </c>
      <c r="J10">
        <v>31</v>
      </c>
      <c r="K10">
        <v>30</v>
      </c>
      <c r="L10">
        <v>50000</v>
      </c>
      <c r="M10">
        <v>1612.9032258064517</v>
      </c>
      <c r="N10">
        <v>5000</v>
      </c>
      <c r="O10">
        <v>4000</v>
      </c>
      <c r="P10">
        <v>53387.096774193553</v>
      </c>
      <c r="Q10">
        <v>49387.096774193553</v>
      </c>
    </row>
    <row r="11" spans="1:17" x14ac:dyDescent="0.3">
      <c r="A11" t="s">
        <v>41</v>
      </c>
      <c r="B11" t="s">
        <v>42</v>
      </c>
      <c r="C11" t="s">
        <v>48</v>
      </c>
      <c r="D11" t="s">
        <v>43</v>
      </c>
      <c r="E11">
        <v>22</v>
      </c>
      <c r="F11">
        <v>1</v>
      </c>
      <c r="G11">
        <v>4</v>
      </c>
      <c r="H11">
        <v>2</v>
      </c>
      <c r="I11">
        <v>4</v>
      </c>
      <c r="J11">
        <v>31</v>
      </c>
      <c r="K11">
        <v>30</v>
      </c>
      <c r="L11">
        <v>12000</v>
      </c>
      <c r="M11">
        <v>387.09677419354841</v>
      </c>
      <c r="N11">
        <v>1200</v>
      </c>
      <c r="O11">
        <v>960</v>
      </c>
      <c r="P11">
        <v>12812.903225806453</v>
      </c>
      <c r="Q11">
        <v>11852.903225806453</v>
      </c>
    </row>
    <row r="12" spans="1:17" x14ac:dyDescent="0.3">
      <c r="A12" t="s">
        <v>44</v>
      </c>
      <c r="B12" t="s">
        <v>45</v>
      </c>
      <c r="C12" t="s">
        <v>48</v>
      </c>
      <c r="D12" t="s">
        <v>43</v>
      </c>
      <c r="E12">
        <v>22</v>
      </c>
      <c r="F12">
        <v>1</v>
      </c>
      <c r="G12">
        <v>4</v>
      </c>
      <c r="H12">
        <v>2</v>
      </c>
      <c r="I12">
        <v>4</v>
      </c>
      <c r="J12">
        <v>31</v>
      </c>
      <c r="K12">
        <v>30</v>
      </c>
      <c r="L12">
        <v>12000</v>
      </c>
      <c r="M12">
        <v>387.09677419354841</v>
      </c>
      <c r="N12">
        <v>1200</v>
      </c>
      <c r="O12">
        <v>960</v>
      </c>
      <c r="P12">
        <v>12812.903225806453</v>
      </c>
      <c r="Q12">
        <v>11852.903225806453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7CCA-1539-42E7-8D1F-A4F318515E23}">
  <dimension ref="A1:Q12"/>
  <sheetViews>
    <sheetView workbookViewId="0"/>
  </sheetViews>
  <sheetFormatPr defaultRowHeight="14.4" x14ac:dyDescent="0.3"/>
  <cols>
    <col min="1" max="1" width="9.21875" bestFit="1" customWidth="1"/>
    <col min="2" max="2" width="15.88671875" bestFit="1" customWidth="1"/>
    <col min="3" max="3" width="9.77734375"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47</v>
      </c>
      <c r="D2" t="s">
        <v>20</v>
      </c>
      <c r="E2">
        <v>24</v>
      </c>
      <c r="F2">
        <v>1</v>
      </c>
      <c r="G2">
        <v>1</v>
      </c>
      <c r="H2">
        <v>1</v>
      </c>
      <c r="I2">
        <v>3</v>
      </c>
      <c r="J2">
        <v>30</v>
      </c>
      <c r="K2">
        <v>28</v>
      </c>
      <c r="L2">
        <v>70000</v>
      </c>
      <c r="M2">
        <v>2333.3333333333335</v>
      </c>
      <c r="N2">
        <v>7000</v>
      </c>
      <c r="O2">
        <v>5600</v>
      </c>
      <c r="P2">
        <v>72333.333333333343</v>
      </c>
      <c r="Q2">
        <v>66733.333333333343</v>
      </c>
    </row>
    <row r="3" spans="1:17" x14ac:dyDescent="0.3">
      <c r="A3" t="s">
        <v>21</v>
      </c>
      <c r="B3" t="s">
        <v>22</v>
      </c>
      <c r="C3" t="s">
        <v>47</v>
      </c>
      <c r="D3" t="s">
        <v>23</v>
      </c>
      <c r="E3">
        <v>25</v>
      </c>
      <c r="F3">
        <v>0</v>
      </c>
      <c r="G3">
        <v>1</v>
      </c>
      <c r="H3">
        <v>1</v>
      </c>
      <c r="I3">
        <v>3</v>
      </c>
      <c r="J3">
        <v>30</v>
      </c>
      <c r="K3">
        <v>29</v>
      </c>
      <c r="L3">
        <v>40000</v>
      </c>
      <c r="M3">
        <v>1333.3333333333333</v>
      </c>
      <c r="N3">
        <v>4000</v>
      </c>
      <c r="O3">
        <v>3200</v>
      </c>
      <c r="P3">
        <v>42666.666666666664</v>
      </c>
      <c r="Q3">
        <v>39466.666666666664</v>
      </c>
    </row>
    <row r="4" spans="1:17" x14ac:dyDescent="0.3">
      <c r="A4" t="s">
        <v>24</v>
      </c>
      <c r="B4" t="s">
        <v>25</v>
      </c>
      <c r="C4" t="s">
        <v>47</v>
      </c>
      <c r="D4" t="s">
        <v>26</v>
      </c>
      <c r="E4">
        <v>24</v>
      </c>
      <c r="F4">
        <v>1</v>
      </c>
      <c r="G4">
        <v>1</v>
      </c>
      <c r="H4">
        <v>1</v>
      </c>
      <c r="I4">
        <v>3</v>
      </c>
      <c r="J4">
        <v>30</v>
      </c>
      <c r="K4">
        <v>28</v>
      </c>
      <c r="L4">
        <v>50000</v>
      </c>
      <c r="M4">
        <v>1666.6666666666667</v>
      </c>
      <c r="N4">
        <v>5000</v>
      </c>
      <c r="O4">
        <v>4000</v>
      </c>
      <c r="P4">
        <v>51666.666666666672</v>
      </c>
      <c r="Q4">
        <v>47666.666666666672</v>
      </c>
    </row>
    <row r="5" spans="1:17" x14ac:dyDescent="0.3">
      <c r="A5" t="s">
        <v>27</v>
      </c>
      <c r="B5" t="s">
        <v>28</v>
      </c>
      <c r="C5" t="s">
        <v>47</v>
      </c>
      <c r="D5" t="s">
        <v>23</v>
      </c>
      <c r="E5">
        <v>25</v>
      </c>
      <c r="F5">
        <v>0</v>
      </c>
      <c r="G5">
        <v>1</v>
      </c>
      <c r="H5">
        <v>1</v>
      </c>
      <c r="I5">
        <v>3</v>
      </c>
      <c r="J5">
        <v>30</v>
      </c>
      <c r="K5">
        <v>29</v>
      </c>
      <c r="L5">
        <v>40000</v>
      </c>
      <c r="M5">
        <v>1333.3333333333333</v>
      </c>
      <c r="N5">
        <v>4000</v>
      </c>
      <c r="O5">
        <v>3200</v>
      </c>
      <c r="P5">
        <v>42666.666666666664</v>
      </c>
      <c r="Q5">
        <v>39466.666666666664</v>
      </c>
    </row>
    <row r="6" spans="1:17" x14ac:dyDescent="0.3">
      <c r="A6" t="s">
        <v>29</v>
      </c>
      <c r="B6" t="s">
        <v>30</v>
      </c>
      <c r="C6" t="s">
        <v>47</v>
      </c>
      <c r="D6" t="s">
        <v>31</v>
      </c>
      <c r="E6">
        <v>24</v>
      </c>
      <c r="F6">
        <v>1</v>
      </c>
      <c r="G6">
        <v>1</v>
      </c>
      <c r="H6">
        <v>1</v>
      </c>
      <c r="I6">
        <v>3</v>
      </c>
      <c r="J6">
        <v>30</v>
      </c>
      <c r="K6">
        <v>28</v>
      </c>
      <c r="L6">
        <v>25000</v>
      </c>
      <c r="M6">
        <v>833.33333333333337</v>
      </c>
      <c r="N6">
        <v>2500</v>
      </c>
      <c r="O6">
        <v>2000</v>
      </c>
      <c r="P6">
        <v>25833.333333333336</v>
      </c>
      <c r="Q6">
        <v>23833.333333333336</v>
      </c>
    </row>
    <row r="7" spans="1:17" x14ac:dyDescent="0.3">
      <c r="A7" t="s">
        <v>32</v>
      </c>
      <c r="B7" t="s">
        <v>33</v>
      </c>
      <c r="C7" t="s">
        <v>47</v>
      </c>
      <c r="D7" t="s">
        <v>31</v>
      </c>
      <c r="E7">
        <v>24</v>
      </c>
      <c r="F7">
        <v>1</v>
      </c>
      <c r="G7">
        <v>1</v>
      </c>
      <c r="H7">
        <v>1</v>
      </c>
      <c r="I7">
        <v>3</v>
      </c>
      <c r="J7">
        <v>30</v>
      </c>
      <c r="K7">
        <v>28</v>
      </c>
      <c r="L7">
        <v>25000</v>
      </c>
      <c r="M7">
        <v>833.33333333333337</v>
      </c>
      <c r="N7">
        <v>2500</v>
      </c>
      <c r="O7">
        <v>2000</v>
      </c>
      <c r="P7">
        <v>25833.333333333336</v>
      </c>
      <c r="Q7">
        <v>23833.333333333336</v>
      </c>
    </row>
    <row r="8" spans="1:17" x14ac:dyDescent="0.3">
      <c r="A8" t="s">
        <v>34</v>
      </c>
      <c r="B8" t="s">
        <v>35</v>
      </c>
      <c r="C8" t="s">
        <v>47</v>
      </c>
      <c r="D8" t="s">
        <v>36</v>
      </c>
      <c r="E8">
        <v>24</v>
      </c>
      <c r="F8">
        <v>1</v>
      </c>
      <c r="G8">
        <v>1</v>
      </c>
      <c r="H8">
        <v>1</v>
      </c>
      <c r="I8">
        <v>3</v>
      </c>
      <c r="J8">
        <v>30</v>
      </c>
      <c r="K8">
        <v>28</v>
      </c>
      <c r="L8">
        <v>30000</v>
      </c>
      <c r="M8">
        <v>1000</v>
      </c>
      <c r="N8">
        <v>3000</v>
      </c>
      <c r="O8">
        <v>2400</v>
      </c>
      <c r="P8">
        <v>31000</v>
      </c>
      <c r="Q8">
        <v>28600</v>
      </c>
    </row>
    <row r="9" spans="1:17" x14ac:dyDescent="0.3">
      <c r="A9" t="s">
        <v>37</v>
      </c>
      <c r="B9" t="s">
        <v>38</v>
      </c>
      <c r="C9" t="s">
        <v>47</v>
      </c>
      <c r="D9" t="s">
        <v>20</v>
      </c>
      <c r="E9">
        <v>23</v>
      </c>
      <c r="F9">
        <v>2</v>
      </c>
      <c r="G9">
        <v>1</v>
      </c>
      <c r="H9">
        <v>1</v>
      </c>
      <c r="I9">
        <v>3</v>
      </c>
      <c r="J9">
        <v>30</v>
      </c>
      <c r="K9">
        <v>27</v>
      </c>
      <c r="L9">
        <v>70000</v>
      </c>
      <c r="M9">
        <v>2333.3333333333335</v>
      </c>
      <c r="N9">
        <v>7000</v>
      </c>
      <c r="O9">
        <v>5600</v>
      </c>
      <c r="P9">
        <v>70000</v>
      </c>
      <c r="Q9">
        <v>64400</v>
      </c>
    </row>
    <row r="10" spans="1:17" x14ac:dyDescent="0.3">
      <c r="A10" t="s">
        <v>39</v>
      </c>
      <c r="B10" t="s">
        <v>40</v>
      </c>
      <c r="C10" t="s">
        <v>47</v>
      </c>
      <c r="D10" t="s">
        <v>26</v>
      </c>
      <c r="E10">
        <v>25</v>
      </c>
      <c r="F10">
        <v>0</v>
      </c>
      <c r="G10">
        <v>1</v>
      </c>
      <c r="H10">
        <v>1</v>
      </c>
      <c r="I10">
        <v>3</v>
      </c>
      <c r="J10">
        <v>30</v>
      </c>
      <c r="K10">
        <v>29</v>
      </c>
      <c r="L10">
        <v>50000</v>
      </c>
      <c r="M10">
        <v>1666.6666666666667</v>
      </c>
      <c r="N10">
        <v>5000</v>
      </c>
      <c r="O10">
        <v>4000</v>
      </c>
      <c r="P10">
        <v>53333.333333333336</v>
      </c>
      <c r="Q10">
        <v>49333.333333333336</v>
      </c>
    </row>
    <row r="11" spans="1:17" x14ac:dyDescent="0.3">
      <c r="A11" t="s">
        <v>41</v>
      </c>
      <c r="B11" t="s">
        <v>42</v>
      </c>
      <c r="C11" t="s">
        <v>47</v>
      </c>
      <c r="D11" t="s">
        <v>43</v>
      </c>
      <c r="E11">
        <v>24</v>
      </c>
      <c r="F11">
        <v>1</v>
      </c>
      <c r="G11">
        <v>1</v>
      </c>
      <c r="H11">
        <v>1</v>
      </c>
      <c r="I11">
        <v>3</v>
      </c>
      <c r="J11">
        <v>30</v>
      </c>
      <c r="K11">
        <v>28</v>
      </c>
      <c r="L11">
        <v>12000</v>
      </c>
      <c r="M11">
        <v>400</v>
      </c>
      <c r="N11">
        <v>1200</v>
      </c>
      <c r="O11">
        <v>960</v>
      </c>
      <c r="P11">
        <v>12400</v>
      </c>
      <c r="Q11">
        <v>11440</v>
      </c>
    </row>
    <row r="12" spans="1:17" x14ac:dyDescent="0.3">
      <c r="A12" t="s">
        <v>44</v>
      </c>
      <c r="B12" t="s">
        <v>45</v>
      </c>
      <c r="C12" t="s">
        <v>47</v>
      </c>
      <c r="D12" t="s">
        <v>43</v>
      </c>
      <c r="E12">
        <v>24</v>
      </c>
      <c r="F12">
        <v>1</v>
      </c>
      <c r="G12">
        <v>1</v>
      </c>
      <c r="H12">
        <v>1</v>
      </c>
      <c r="I12">
        <v>3</v>
      </c>
      <c r="J12">
        <v>30</v>
      </c>
      <c r="K12">
        <v>28</v>
      </c>
      <c r="L12">
        <v>12000</v>
      </c>
      <c r="M12">
        <v>400</v>
      </c>
      <c r="N12">
        <v>1200</v>
      </c>
      <c r="O12">
        <v>960</v>
      </c>
      <c r="P12">
        <v>12400</v>
      </c>
      <c r="Q12">
        <v>11440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E985-957C-4D64-BE3A-62BA90DC7BEA}">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46</v>
      </c>
      <c r="D2" t="s">
        <v>20</v>
      </c>
      <c r="E2">
        <v>23</v>
      </c>
      <c r="F2">
        <v>1</v>
      </c>
      <c r="G2">
        <v>2</v>
      </c>
      <c r="H2">
        <v>2</v>
      </c>
      <c r="I2">
        <v>4</v>
      </c>
      <c r="J2">
        <v>31</v>
      </c>
      <c r="K2">
        <v>29</v>
      </c>
      <c r="L2">
        <v>70000</v>
      </c>
      <c r="M2">
        <v>2258.0645161290322</v>
      </c>
      <c r="N2">
        <v>7000</v>
      </c>
      <c r="O2">
        <v>5600</v>
      </c>
      <c r="P2">
        <v>72483.870967741939</v>
      </c>
      <c r="Q2">
        <v>66883.870967741939</v>
      </c>
    </row>
    <row r="3" spans="1:17" x14ac:dyDescent="0.3">
      <c r="A3" t="s">
        <v>21</v>
      </c>
      <c r="B3" t="s">
        <v>22</v>
      </c>
      <c r="C3" t="s">
        <v>46</v>
      </c>
      <c r="D3" t="s">
        <v>23</v>
      </c>
      <c r="E3">
        <v>23</v>
      </c>
      <c r="F3">
        <v>1</v>
      </c>
      <c r="G3">
        <v>2</v>
      </c>
      <c r="H3">
        <v>2</v>
      </c>
      <c r="I3">
        <v>4</v>
      </c>
      <c r="J3">
        <v>31</v>
      </c>
      <c r="K3">
        <v>29</v>
      </c>
      <c r="L3">
        <v>40000</v>
      </c>
      <c r="M3">
        <v>1290.3225806451612</v>
      </c>
      <c r="N3">
        <v>4000</v>
      </c>
      <c r="O3">
        <v>3200</v>
      </c>
      <c r="P3">
        <v>41419.354838709674</v>
      </c>
      <c r="Q3">
        <v>38219.354838709674</v>
      </c>
    </row>
    <row r="4" spans="1:17" x14ac:dyDescent="0.3">
      <c r="A4" t="s">
        <v>24</v>
      </c>
      <c r="B4" t="s">
        <v>25</v>
      </c>
      <c r="C4" t="s">
        <v>46</v>
      </c>
      <c r="D4" t="s">
        <v>26</v>
      </c>
      <c r="E4">
        <v>23</v>
      </c>
      <c r="F4">
        <v>1</v>
      </c>
      <c r="G4">
        <v>2</v>
      </c>
      <c r="H4">
        <v>2</v>
      </c>
      <c r="I4">
        <v>4</v>
      </c>
      <c r="J4">
        <v>31</v>
      </c>
      <c r="K4">
        <v>29</v>
      </c>
      <c r="L4">
        <v>50000</v>
      </c>
      <c r="M4">
        <v>1612.9032258064517</v>
      </c>
      <c r="N4">
        <v>5000</v>
      </c>
      <c r="O4">
        <v>4000</v>
      </c>
      <c r="P4">
        <v>51774.193548387098</v>
      </c>
      <c r="Q4">
        <v>47774.193548387098</v>
      </c>
    </row>
    <row r="5" spans="1:17" x14ac:dyDescent="0.3">
      <c r="A5" t="s">
        <v>27</v>
      </c>
      <c r="B5" t="s">
        <v>28</v>
      </c>
      <c r="C5" t="s">
        <v>46</v>
      </c>
      <c r="D5" t="s">
        <v>23</v>
      </c>
      <c r="E5">
        <v>23</v>
      </c>
      <c r="F5">
        <v>1</v>
      </c>
      <c r="G5">
        <v>2</v>
      </c>
      <c r="H5">
        <v>2</v>
      </c>
      <c r="I5">
        <v>4</v>
      </c>
      <c r="J5">
        <v>31</v>
      </c>
      <c r="K5">
        <v>29</v>
      </c>
      <c r="L5">
        <v>40000</v>
      </c>
      <c r="M5">
        <v>1290.3225806451612</v>
      </c>
      <c r="N5">
        <v>4000</v>
      </c>
      <c r="O5">
        <v>3200</v>
      </c>
      <c r="P5">
        <v>41419.354838709674</v>
      </c>
      <c r="Q5">
        <v>38219.354838709674</v>
      </c>
    </row>
    <row r="6" spans="1:17" x14ac:dyDescent="0.3">
      <c r="A6" t="s">
        <v>29</v>
      </c>
      <c r="B6" t="s">
        <v>30</v>
      </c>
      <c r="C6" t="s">
        <v>46</v>
      </c>
      <c r="D6" t="s">
        <v>31</v>
      </c>
      <c r="E6">
        <v>23</v>
      </c>
      <c r="F6">
        <v>1</v>
      </c>
      <c r="G6">
        <v>2</v>
      </c>
      <c r="H6">
        <v>2</v>
      </c>
      <c r="I6">
        <v>4</v>
      </c>
      <c r="J6">
        <v>31</v>
      </c>
      <c r="K6">
        <v>29</v>
      </c>
      <c r="L6">
        <v>25000</v>
      </c>
      <c r="M6">
        <v>806.45161290322585</v>
      </c>
      <c r="N6">
        <v>2500</v>
      </c>
      <c r="O6">
        <v>2000</v>
      </c>
      <c r="P6">
        <v>25887.096774193549</v>
      </c>
      <c r="Q6">
        <v>23887.096774193549</v>
      </c>
    </row>
    <row r="7" spans="1:17" x14ac:dyDescent="0.3">
      <c r="A7" t="s">
        <v>32</v>
      </c>
      <c r="B7" t="s">
        <v>33</v>
      </c>
      <c r="C7" t="s">
        <v>46</v>
      </c>
      <c r="D7" t="s">
        <v>31</v>
      </c>
      <c r="E7">
        <v>23</v>
      </c>
      <c r="F7">
        <v>1</v>
      </c>
      <c r="G7">
        <v>2</v>
      </c>
      <c r="H7">
        <v>2</v>
      </c>
      <c r="I7">
        <v>4</v>
      </c>
      <c r="J7">
        <v>31</v>
      </c>
      <c r="K7">
        <v>29</v>
      </c>
      <c r="L7">
        <v>25000</v>
      </c>
      <c r="M7">
        <v>806.45161290322585</v>
      </c>
      <c r="N7">
        <v>2500</v>
      </c>
      <c r="O7">
        <v>2000</v>
      </c>
      <c r="P7">
        <v>25887.096774193549</v>
      </c>
      <c r="Q7">
        <v>23887.096774193549</v>
      </c>
    </row>
    <row r="8" spans="1:17" x14ac:dyDescent="0.3">
      <c r="A8" t="s">
        <v>34</v>
      </c>
      <c r="B8" t="s">
        <v>35</v>
      </c>
      <c r="C8" t="s">
        <v>46</v>
      </c>
      <c r="D8" t="s">
        <v>36</v>
      </c>
      <c r="E8">
        <v>23</v>
      </c>
      <c r="F8">
        <v>1</v>
      </c>
      <c r="G8">
        <v>2</v>
      </c>
      <c r="H8">
        <v>2</v>
      </c>
      <c r="I8">
        <v>4</v>
      </c>
      <c r="J8">
        <v>31</v>
      </c>
      <c r="K8">
        <v>29</v>
      </c>
      <c r="L8">
        <v>30000</v>
      </c>
      <c r="M8">
        <v>967.74193548387098</v>
      </c>
      <c r="N8">
        <v>3000</v>
      </c>
      <c r="O8">
        <v>2400</v>
      </c>
      <c r="P8">
        <v>31064.516129032258</v>
      </c>
      <c r="Q8">
        <v>28664.516129032258</v>
      </c>
    </row>
    <row r="9" spans="1:17" x14ac:dyDescent="0.3">
      <c r="A9" t="s">
        <v>37</v>
      </c>
      <c r="B9" t="s">
        <v>38</v>
      </c>
      <c r="C9" t="s">
        <v>46</v>
      </c>
      <c r="D9" t="s">
        <v>20</v>
      </c>
      <c r="E9">
        <v>23</v>
      </c>
      <c r="F9">
        <v>1</v>
      </c>
      <c r="G9">
        <v>2</v>
      </c>
      <c r="H9">
        <v>2</v>
      </c>
      <c r="I9">
        <v>4</v>
      </c>
      <c r="J9">
        <v>31</v>
      </c>
      <c r="K9">
        <v>29</v>
      </c>
      <c r="L9">
        <v>70000</v>
      </c>
      <c r="M9">
        <v>2258.0645161290322</v>
      </c>
      <c r="N9">
        <v>7000</v>
      </c>
      <c r="O9">
        <v>5600</v>
      </c>
      <c r="P9">
        <v>72483.870967741939</v>
      </c>
      <c r="Q9">
        <v>66883.870967741939</v>
      </c>
    </row>
    <row r="10" spans="1:17" x14ac:dyDescent="0.3">
      <c r="A10" t="s">
        <v>39</v>
      </c>
      <c r="B10" t="s">
        <v>40</v>
      </c>
      <c r="C10" t="s">
        <v>46</v>
      </c>
      <c r="D10" t="s">
        <v>26</v>
      </c>
      <c r="E10">
        <v>23</v>
      </c>
      <c r="F10">
        <v>1</v>
      </c>
      <c r="G10">
        <v>2</v>
      </c>
      <c r="H10">
        <v>2</v>
      </c>
      <c r="I10">
        <v>4</v>
      </c>
      <c r="J10">
        <v>31</v>
      </c>
      <c r="K10">
        <v>29</v>
      </c>
      <c r="L10">
        <v>50000</v>
      </c>
      <c r="M10">
        <v>1612.9032258064517</v>
      </c>
      <c r="N10">
        <v>5000</v>
      </c>
      <c r="O10">
        <v>4000</v>
      </c>
      <c r="P10">
        <v>51774.193548387098</v>
      </c>
      <c r="Q10">
        <v>47774.193548387098</v>
      </c>
    </row>
    <row r="11" spans="1:17" x14ac:dyDescent="0.3">
      <c r="A11" t="s">
        <v>41</v>
      </c>
      <c r="B11" t="s">
        <v>42</v>
      </c>
      <c r="C11" t="s">
        <v>46</v>
      </c>
      <c r="D11" t="s">
        <v>43</v>
      </c>
      <c r="E11">
        <v>23</v>
      </c>
      <c r="F11">
        <v>1</v>
      </c>
      <c r="G11">
        <v>2</v>
      </c>
      <c r="H11">
        <v>2</v>
      </c>
      <c r="I11">
        <v>4</v>
      </c>
      <c r="J11">
        <v>31</v>
      </c>
      <c r="K11">
        <v>29</v>
      </c>
      <c r="L11">
        <v>12000</v>
      </c>
      <c r="M11">
        <v>387.09677419354841</v>
      </c>
      <c r="N11">
        <v>1200</v>
      </c>
      <c r="O11">
        <v>960</v>
      </c>
      <c r="P11">
        <v>12425.806451612903</v>
      </c>
      <c r="Q11">
        <v>11465.806451612903</v>
      </c>
    </row>
    <row r="12" spans="1:17" x14ac:dyDescent="0.3">
      <c r="A12" t="s">
        <v>44</v>
      </c>
      <c r="B12" t="s">
        <v>45</v>
      </c>
      <c r="C12" t="s">
        <v>46</v>
      </c>
      <c r="D12" t="s">
        <v>43</v>
      </c>
      <c r="E12">
        <v>23</v>
      </c>
      <c r="F12">
        <v>1</v>
      </c>
      <c r="G12">
        <v>2</v>
      </c>
      <c r="H12">
        <v>2</v>
      </c>
      <c r="I12">
        <v>4</v>
      </c>
      <c r="J12">
        <v>31</v>
      </c>
      <c r="K12">
        <v>29</v>
      </c>
      <c r="L12">
        <v>12000</v>
      </c>
      <c r="M12">
        <v>387.09677419354841</v>
      </c>
      <c r="N12">
        <v>1200</v>
      </c>
      <c r="O12">
        <v>960</v>
      </c>
      <c r="P12">
        <v>12425.806451612903</v>
      </c>
      <c r="Q12">
        <v>11465.806451612903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A29E-8B66-46A2-9F33-917998ED111F}">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26</v>
      </c>
      <c r="F2">
        <v>1</v>
      </c>
      <c r="G2">
        <v>0</v>
      </c>
      <c r="H2">
        <v>0</v>
      </c>
      <c r="I2">
        <v>4</v>
      </c>
      <c r="J2">
        <v>31</v>
      </c>
      <c r="K2">
        <v>30</v>
      </c>
      <c r="L2">
        <v>70000</v>
      </c>
      <c r="M2">
        <v>2258.0645161290322</v>
      </c>
      <c r="N2">
        <v>7000</v>
      </c>
      <c r="O2">
        <v>5600</v>
      </c>
      <c r="P2">
        <v>74741.93548387097</v>
      </c>
      <c r="Q2">
        <v>69141.93548387097</v>
      </c>
    </row>
    <row r="3" spans="1:17" x14ac:dyDescent="0.3">
      <c r="A3" t="s">
        <v>21</v>
      </c>
      <c r="B3" t="s">
        <v>22</v>
      </c>
      <c r="C3" t="s">
        <v>19</v>
      </c>
      <c r="D3" t="s">
        <v>23</v>
      </c>
      <c r="E3">
        <v>26</v>
      </c>
      <c r="F3">
        <v>1</v>
      </c>
      <c r="G3">
        <v>0</v>
      </c>
      <c r="H3">
        <v>0</v>
      </c>
      <c r="I3">
        <v>4</v>
      </c>
      <c r="J3">
        <v>31</v>
      </c>
      <c r="K3">
        <v>30</v>
      </c>
      <c r="L3">
        <v>40000</v>
      </c>
      <c r="M3">
        <v>1290.3225806451612</v>
      </c>
      <c r="N3">
        <v>4000</v>
      </c>
      <c r="O3">
        <v>3200</v>
      </c>
      <c r="P3">
        <v>42709.677419354834</v>
      </c>
      <c r="Q3">
        <v>39509.677419354834</v>
      </c>
    </row>
    <row r="4" spans="1:17" x14ac:dyDescent="0.3">
      <c r="A4" t="s">
        <v>24</v>
      </c>
      <c r="B4" t="s">
        <v>25</v>
      </c>
      <c r="C4" t="s">
        <v>19</v>
      </c>
      <c r="D4" t="s">
        <v>26</v>
      </c>
      <c r="E4">
        <v>25</v>
      </c>
      <c r="F4">
        <v>2</v>
      </c>
      <c r="G4">
        <v>0</v>
      </c>
      <c r="H4">
        <v>0</v>
      </c>
      <c r="I4">
        <v>4</v>
      </c>
      <c r="J4">
        <v>31</v>
      </c>
      <c r="K4">
        <v>29</v>
      </c>
      <c r="L4">
        <v>50000</v>
      </c>
      <c r="M4">
        <v>1612.9032258064517</v>
      </c>
      <c r="N4">
        <v>5000</v>
      </c>
      <c r="O4">
        <v>4000</v>
      </c>
      <c r="P4">
        <v>51774.193548387098</v>
      </c>
      <c r="Q4">
        <v>47774.193548387098</v>
      </c>
    </row>
    <row r="5" spans="1:17" x14ac:dyDescent="0.3">
      <c r="A5" t="s">
        <v>27</v>
      </c>
      <c r="B5" t="s">
        <v>28</v>
      </c>
      <c r="C5" t="s">
        <v>19</v>
      </c>
      <c r="D5" t="s">
        <v>23</v>
      </c>
      <c r="E5">
        <v>27</v>
      </c>
      <c r="F5">
        <v>0</v>
      </c>
      <c r="G5">
        <v>0</v>
      </c>
      <c r="H5">
        <v>0</v>
      </c>
      <c r="I5">
        <v>4</v>
      </c>
      <c r="J5">
        <v>31</v>
      </c>
      <c r="K5">
        <v>31</v>
      </c>
      <c r="L5">
        <v>40000</v>
      </c>
      <c r="M5">
        <v>1290.3225806451612</v>
      </c>
      <c r="N5">
        <v>4000</v>
      </c>
      <c r="O5">
        <v>3200</v>
      </c>
      <c r="P5">
        <v>44000</v>
      </c>
      <c r="Q5">
        <v>40800</v>
      </c>
    </row>
    <row r="6" spans="1:17" x14ac:dyDescent="0.3">
      <c r="A6" t="s">
        <v>29</v>
      </c>
      <c r="B6" t="s">
        <v>30</v>
      </c>
      <c r="C6" t="s">
        <v>19</v>
      </c>
      <c r="D6" t="s">
        <v>31</v>
      </c>
      <c r="E6">
        <v>26</v>
      </c>
      <c r="F6">
        <v>1</v>
      </c>
      <c r="G6">
        <v>0</v>
      </c>
      <c r="H6">
        <v>0</v>
      </c>
      <c r="I6">
        <v>4</v>
      </c>
      <c r="J6">
        <v>31</v>
      </c>
      <c r="K6">
        <v>30</v>
      </c>
      <c r="L6">
        <v>25000</v>
      </c>
      <c r="M6">
        <v>806.45161290322585</v>
      </c>
      <c r="N6">
        <v>2500</v>
      </c>
      <c r="O6">
        <v>2000</v>
      </c>
      <c r="P6">
        <v>26693.548387096776</v>
      </c>
      <c r="Q6">
        <v>24693.548387096776</v>
      </c>
    </row>
    <row r="7" spans="1:17" x14ac:dyDescent="0.3">
      <c r="A7" t="s">
        <v>32</v>
      </c>
      <c r="B7" t="s">
        <v>33</v>
      </c>
      <c r="C7" t="s">
        <v>19</v>
      </c>
      <c r="D7" t="s">
        <v>31</v>
      </c>
      <c r="E7">
        <v>25</v>
      </c>
      <c r="F7">
        <v>2</v>
      </c>
      <c r="G7">
        <v>0</v>
      </c>
      <c r="H7">
        <v>0</v>
      </c>
      <c r="I7">
        <v>4</v>
      </c>
      <c r="J7">
        <v>31</v>
      </c>
      <c r="K7">
        <v>29</v>
      </c>
      <c r="L7">
        <v>25000</v>
      </c>
      <c r="M7">
        <v>806.45161290322585</v>
      </c>
      <c r="N7">
        <v>2500</v>
      </c>
      <c r="O7">
        <v>2000</v>
      </c>
      <c r="P7">
        <v>25887.096774193549</v>
      </c>
      <c r="Q7">
        <v>23887.096774193549</v>
      </c>
    </row>
    <row r="8" spans="1:17" x14ac:dyDescent="0.3">
      <c r="A8" t="s">
        <v>34</v>
      </c>
      <c r="B8" t="s">
        <v>35</v>
      </c>
      <c r="C8" t="s">
        <v>19</v>
      </c>
      <c r="D8" t="s">
        <v>36</v>
      </c>
      <c r="E8">
        <v>27</v>
      </c>
      <c r="F8">
        <v>0</v>
      </c>
      <c r="G8">
        <v>0</v>
      </c>
      <c r="H8">
        <v>0</v>
      </c>
      <c r="I8">
        <v>4</v>
      </c>
      <c r="J8">
        <v>31</v>
      </c>
      <c r="K8">
        <v>31</v>
      </c>
      <c r="L8">
        <v>30000</v>
      </c>
      <c r="M8">
        <v>967.74193548387098</v>
      </c>
      <c r="N8">
        <v>3000</v>
      </c>
      <c r="O8">
        <v>2400</v>
      </c>
      <c r="P8">
        <v>33000</v>
      </c>
      <c r="Q8">
        <v>30600</v>
      </c>
    </row>
    <row r="9" spans="1:17" x14ac:dyDescent="0.3">
      <c r="A9" t="s">
        <v>37</v>
      </c>
      <c r="B9" t="s">
        <v>38</v>
      </c>
      <c r="C9" t="s">
        <v>19</v>
      </c>
      <c r="D9" t="s">
        <v>20</v>
      </c>
      <c r="E9">
        <v>26</v>
      </c>
      <c r="F9">
        <v>1</v>
      </c>
      <c r="G9">
        <v>0</v>
      </c>
      <c r="H9">
        <v>0</v>
      </c>
      <c r="I9">
        <v>4</v>
      </c>
      <c r="J9">
        <v>31</v>
      </c>
      <c r="K9">
        <v>30</v>
      </c>
      <c r="L9">
        <v>70000</v>
      </c>
      <c r="M9">
        <v>2258.0645161290322</v>
      </c>
      <c r="N9">
        <v>7000</v>
      </c>
      <c r="O9">
        <v>5600</v>
      </c>
      <c r="P9">
        <v>74741.93548387097</v>
      </c>
      <c r="Q9">
        <v>69141.93548387097</v>
      </c>
    </row>
    <row r="10" spans="1:17" x14ac:dyDescent="0.3">
      <c r="A10" t="s">
        <v>39</v>
      </c>
      <c r="B10" t="s">
        <v>40</v>
      </c>
      <c r="C10" t="s">
        <v>19</v>
      </c>
      <c r="D10" t="s">
        <v>26</v>
      </c>
      <c r="E10">
        <v>26</v>
      </c>
      <c r="F10">
        <v>1</v>
      </c>
      <c r="G10">
        <v>0</v>
      </c>
      <c r="H10">
        <v>0</v>
      </c>
      <c r="I10">
        <v>4</v>
      </c>
      <c r="J10">
        <v>31</v>
      </c>
      <c r="K10">
        <v>30</v>
      </c>
      <c r="L10">
        <v>50000</v>
      </c>
      <c r="M10">
        <v>1612.9032258064517</v>
      </c>
      <c r="N10">
        <v>5000</v>
      </c>
      <c r="O10">
        <v>4000</v>
      </c>
      <c r="P10">
        <v>53387.096774193553</v>
      </c>
      <c r="Q10">
        <v>49387.096774193553</v>
      </c>
    </row>
    <row r="11" spans="1:17" x14ac:dyDescent="0.3">
      <c r="A11" t="s">
        <v>41</v>
      </c>
      <c r="B11" t="s">
        <v>42</v>
      </c>
      <c r="C11" t="s">
        <v>19</v>
      </c>
      <c r="D11" t="s">
        <v>43</v>
      </c>
      <c r="E11">
        <v>26</v>
      </c>
      <c r="F11">
        <v>1</v>
      </c>
      <c r="G11">
        <v>0</v>
      </c>
      <c r="H11">
        <v>0</v>
      </c>
      <c r="I11">
        <v>4</v>
      </c>
      <c r="J11">
        <v>31</v>
      </c>
      <c r="K11">
        <v>30</v>
      </c>
      <c r="L11">
        <v>12000</v>
      </c>
      <c r="M11">
        <v>387.09677419354841</v>
      </c>
      <c r="N11">
        <v>1200</v>
      </c>
      <c r="O11">
        <v>960</v>
      </c>
      <c r="P11">
        <v>12812.903225806453</v>
      </c>
      <c r="Q11">
        <v>11852.903225806453</v>
      </c>
    </row>
    <row r="12" spans="1:17" x14ac:dyDescent="0.3">
      <c r="A12" t="s">
        <v>44</v>
      </c>
      <c r="B12" t="s">
        <v>45</v>
      </c>
      <c r="C12" t="s">
        <v>19</v>
      </c>
      <c r="D12" t="s">
        <v>43</v>
      </c>
      <c r="E12">
        <v>26</v>
      </c>
      <c r="F12">
        <v>1</v>
      </c>
      <c r="G12">
        <v>0</v>
      </c>
      <c r="H12">
        <v>0</v>
      </c>
      <c r="I12">
        <v>4</v>
      </c>
      <c r="J12">
        <v>31</v>
      </c>
      <c r="K12">
        <v>30</v>
      </c>
      <c r="L12">
        <v>12000</v>
      </c>
      <c r="M12">
        <v>387.09677419354841</v>
      </c>
      <c r="N12">
        <v>1200</v>
      </c>
      <c r="O12">
        <v>960</v>
      </c>
      <c r="P12">
        <v>12812.903225806453</v>
      </c>
      <c r="Q12">
        <v>11852.903225806453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EF74-E357-461A-A80C-B892C3ED02F5}">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56</v>
      </c>
      <c r="D2" t="s">
        <v>20</v>
      </c>
      <c r="E2">
        <v>23</v>
      </c>
      <c r="F2">
        <v>1</v>
      </c>
      <c r="G2">
        <v>1</v>
      </c>
      <c r="H2">
        <v>1</v>
      </c>
      <c r="I2">
        <v>3</v>
      </c>
      <c r="J2">
        <v>30</v>
      </c>
      <c r="K2">
        <v>27</v>
      </c>
      <c r="L2">
        <v>70000</v>
      </c>
      <c r="M2">
        <v>2333.3333333333335</v>
      </c>
      <c r="N2">
        <v>7000</v>
      </c>
      <c r="O2">
        <v>5600</v>
      </c>
      <c r="P2">
        <v>70000</v>
      </c>
      <c r="Q2">
        <v>64400</v>
      </c>
    </row>
    <row r="3" spans="1:17" x14ac:dyDescent="0.3">
      <c r="A3" t="s">
        <v>21</v>
      </c>
      <c r="B3" t="s">
        <v>22</v>
      </c>
      <c r="C3" t="s">
        <v>56</v>
      </c>
      <c r="D3" t="s">
        <v>23</v>
      </c>
      <c r="E3">
        <v>23</v>
      </c>
      <c r="F3">
        <v>1</v>
      </c>
      <c r="G3">
        <v>1</v>
      </c>
      <c r="H3">
        <v>1</v>
      </c>
      <c r="I3">
        <v>3</v>
      </c>
      <c r="J3">
        <v>30</v>
      </c>
      <c r="K3">
        <v>27</v>
      </c>
      <c r="L3">
        <v>40000</v>
      </c>
      <c r="M3">
        <v>1333.3333333333333</v>
      </c>
      <c r="N3">
        <v>4000</v>
      </c>
      <c r="O3">
        <v>3200</v>
      </c>
      <c r="P3">
        <v>40000</v>
      </c>
      <c r="Q3">
        <v>36800</v>
      </c>
    </row>
    <row r="4" spans="1:17" x14ac:dyDescent="0.3">
      <c r="A4" t="s">
        <v>24</v>
      </c>
      <c r="B4" t="s">
        <v>25</v>
      </c>
      <c r="C4" t="s">
        <v>56</v>
      </c>
      <c r="D4" t="s">
        <v>26</v>
      </c>
      <c r="E4">
        <v>23</v>
      </c>
      <c r="F4">
        <v>1</v>
      </c>
      <c r="G4">
        <v>1</v>
      </c>
      <c r="H4">
        <v>1</v>
      </c>
      <c r="I4">
        <v>3</v>
      </c>
      <c r="J4">
        <v>30</v>
      </c>
      <c r="K4">
        <v>27</v>
      </c>
      <c r="L4">
        <v>50000</v>
      </c>
      <c r="M4">
        <v>1666.6666666666667</v>
      </c>
      <c r="N4">
        <v>5000</v>
      </c>
      <c r="O4">
        <v>4000</v>
      </c>
      <c r="P4">
        <v>50000</v>
      </c>
      <c r="Q4">
        <v>46000</v>
      </c>
    </row>
    <row r="5" spans="1:17" x14ac:dyDescent="0.3">
      <c r="A5" t="s">
        <v>27</v>
      </c>
      <c r="B5" t="s">
        <v>28</v>
      </c>
      <c r="C5" t="s">
        <v>56</v>
      </c>
      <c r="D5" t="s">
        <v>23</v>
      </c>
      <c r="E5">
        <v>23</v>
      </c>
      <c r="F5">
        <v>1</v>
      </c>
      <c r="G5">
        <v>1</v>
      </c>
      <c r="H5">
        <v>1</v>
      </c>
      <c r="I5">
        <v>3</v>
      </c>
      <c r="J5">
        <v>30</v>
      </c>
      <c r="K5">
        <v>27</v>
      </c>
      <c r="L5">
        <v>40000</v>
      </c>
      <c r="M5">
        <v>1333.3333333333333</v>
      </c>
      <c r="N5">
        <v>4000</v>
      </c>
      <c r="O5">
        <v>3200</v>
      </c>
      <c r="P5">
        <v>40000</v>
      </c>
      <c r="Q5">
        <v>36800</v>
      </c>
    </row>
    <row r="6" spans="1:17" x14ac:dyDescent="0.3">
      <c r="A6" t="s">
        <v>29</v>
      </c>
      <c r="B6" t="s">
        <v>30</v>
      </c>
      <c r="C6" t="s">
        <v>56</v>
      </c>
      <c r="D6" t="s">
        <v>31</v>
      </c>
      <c r="E6">
        <v>23</v>
      </c>
      <c r="F6">
        <v>1</v>
      </c>
      <c r="G6">
        <v>1</v>
      </c>
      <c r="H6">
        <v>1</v>
      </c>
      <c r="I6">
        <v>3</v>
      </c>
      <c r="J6">
        <v>30</v>
      </c>
      <c r="K6">
        <v>27</v>
      </c>
      <c r="L6">
        <v>25000</v>
      </c>
      <c r="M6">
        <v>833.33333333333337</v>
      </c>
      <c r="N6">
        <v>2500</v>
      </c>
      <c r="O6">
        <v>2000</v>
      </c>
      <c r="P6">
        <v>25000</v>
      </c>
      <c r="Q6">
        <v>23000</v>
      </c>
    </row>
    <row r="7" spans="1:17" x14ac:dyDescent="0.3">
      <c r="A7" t="s">
        <v>32</v>
      </c>
      <c r="B7" t="s">
        <v>33</v>
      </c>
      <c r="C7" t="s">
        <v>56</v>
      </c>
      <c r="D7" t="s">
        <v>31</v>
      </c>
      <c r="E7">
        <v>23</v>
      </c>
      <c r="F7">
        <v>1</v>
      </c>
      <c r="G7">
        <v>1</v>
      </c>
      <c r="H7">
        <v>1</v>
      </c>
      <c r="I7">
        <v>3</v>
      </c>
      <c r="J7">
        <v>30</v>
      </c>
      <c r="K7">
        <v>27</v>
      </c>
      <c r="L7">
        <v>25000</v>
      </c>
      <c r="M7">
        <v>833.33333333333337</v>
      </c>
      <c r="N7">
        <v>2500</v>
      </c>
      <c r="O7">
        <v>2000</v>
      </c>
      <c r="P7">
        <v>25000</v>
      </c>
      <c r="Q7">
        <v>23000</v>
      </c>
    </row>
    <row r="8" spans="1:17" x14ac:dyDescent="0.3">
      <c r="A8" t="s">
        <v>34</v>
      </c>
      <c r="B8" t="s">
        <v>35</v>
      </c>
      <c r="C8" t="s">
        <v>56</v>
      </c>
      <c r="D8" t="s">
        <v>36</v>
      </c>
      <c r="E8">
        <v>24</v>
      </c>
      <c r="F8">
        <v>0</v>
      </c>
      <c r="G8">
        <v>1</v>
      </c>
      <c r="H8">
        <v>1</v>
      </c>
      <c r="I8">
        <v>3</v>
      </c>
      <c r="J8">
        <v>30</v>
      </c>
      <c r="K8">
        <v>28</v>
      </c>
      <c r="L8">
        <v>30000</v>
      </c>
      <c r="M8">
        <v>1000</v>
      </c>
      <c r="N8">
        <v>3000</v>
      </c>
      <c r="O8">
        <v>2400</v>
      </c>
      <c r="P8">
        <v>31000</v>
      </c>
      <c r="Q8">
        <v>28600</v>
      </c>
    </row>
    <row r="9" spans="1:17" x14ac:dyDescent="0.3">
      <c r="A9" t="s">
        <v>37</v>
      </c>
      <c r="B9" t="s">
        <v>38</v>
      </c>
      <c r="C9" t="s">
        <v>56</v>
      </c>
      <c r="D9" t="s">
        <v>20</v>
      </c>
      <c r="E9">
        <v>23</v>
      </c>
      <c r="F9">
        <v>1</v>
      </c>
      <c r="G9">
        <v>1</v>
      </c>
      <c r="H9">
        <v>1</v>
      </c>
      <c r="I9">
        <v>3</v>
      </c>
      <c r="J9">
        <v>30</v>
      </c>
      <c r="K9">
        <v>27</v>
      </c>
      <c r="L9">
        <v>70000</v>
      </c>
      <c r="M9">
        <v>2333.3333333333335</v>
      </c>
      <c r="N9">
        <v>7000</v>
      </c>
      <c r="O9">
        <v>5600</v>
      </c>
      <c r="P9">
        <v>70000</v>
      </c>
      <c r="Q9">
        <v>64400</v>
      </c>
    </row>
    <row r="10" spans="1:17" x14ac:dyDescent="0.3">
      <c r="A10" t="s">
        <v>39</v>
      </c>
      <c r="B10" t="s">
        <v>40</v>
      </c>
      <c r="C10" t="s">
        <v>56</v>
      </c>
      <c r="D10" t="s">
        <v>26</v>
      </c>
      <c r="E10">
        <v>23</v>
      </c>
      <c r="F10">
        <v>1</v>
      </c>
      <c r="G10">
        <v>1</v>
      </c>
      <c r="H10">
        <v>1</v>
      </c>
      <c r="I10">
        <v>3</v>
      </c>
      <c r="J10">
        <v>30</v>
      </c>
      <c r="K10">
        <v>27</v>
      </c>
      <c r="L10">
        <v>50000</v>
      </c>
      <c r="M10">
        <v>1666.6666666666667</v>
      </c>
      <c r="N10">
        <v>5000</v>
      </c>
      <c r="O10">
        <v>4000</v>
      </c>
      <c r="P10">
        <v>50000</v>
      </c>
      <c r="Q10">
        <v>46000</v>
      </c>
    </row>
    <row r="11" spans="1:17" x14ac:dyDescent="0.3">
      <c r="A11" t="s">
        <v>41</v>
      </c>
      <c r="B11" t="s">
        <v>42</v>
      </c>
      <c r="C11" t="s">
        <v>56</v>
      </c>
      <c r="D11" t="s">
        <v>43</v>
      </c>
      <c r="E11">
        <v>23</v>
      </c>
      <c r="F11">
        <v>1</v>
      </c>
      <c r="G11">
        <v>1</v>
      </c>
      <c r="H11">
        <v>1</v>
      </c>
      <c r="I11">
        <v>3</v>
      </c>
      <c r="J11">
        <v>30</v>
      </c>
      <c r="K11">
        <v>27</v>
      </c>
      <c r="L11">
        <v>12000</v>
      </c>
      <c r="M11">
        <v>400</v>
      </c>
      <c r="N11">
        <v>1200</v>
      </c>
      <c r="O11">
        <v>960</v>
      </c>
      <c r="P11">
        <v>12000</v>
      </c>
      <c r="Q11">
        <v>11040</v>
      </c>
    </row>
    <row r="12" spans="1:17" x14ac:dyDescent="0.3">
      <c r="A12" t="s">
        <v>44</v>
      </c>
      <c r="B12" t="s">
        <v>45</v>
      </c>
      <c r="C12" t="s">
        <v>56</v>
      </c>
      <c r="D12" t="s">
        <v>43</v>
      </c>
      <c r="E12">
        <v>24</v>
      </c>
      <c r="F12">
        <v>0</v>
      </c>
      <c r="G12">
        <v>1</v>
      </c>
      <c r="H12">
        <v>1</v>
      </c>
      <c r="I12">
        <v>3</v>
      </c>
      <c r="J12">
        <v>30</v>
      </c>
      <c r="K12">
        <v>28</v>
      </c>
      <c r="L12">
        <v>12000</v>
      </c>
      <c r="M12">
        <v>400</v>
      </c>
      <c r="N12">
        <v>1200</v>
      </c>
      <c r="O12">
        <v>960</v>
      </c>
      <c r="P12">
        <v>12400</v>
      </c>
      <c r="Q12">
        <v>11440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EF19-1307-4C54-8FF1-4110385107BD}">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55</v>
      </c>
      <c r="D2" t="s">
        <v>20</v>
      </c>
      <c r="E2">
        <v>24</v>
      </c>
      <c r="F2">
        <v>1</v>
      </c>
      <c r="G2">
        <v>2</v>
      </c>
      <c r="H2">
        <v>2</v>
      </c>
      <c r="I2">
        <v>4</v>
      </c>
      <c r="J2">
        <v>31</v>
      </c>
      <c r="K2">
        <v>30</v>
      </c>
      <c r="L2">
        <v>70000</v>
      </c>
      <c r="M2">
        <v>2258.0645161290322</v>
      </c>
      <c r="N2">
        <v>7000</v>
      </c>
      <c r="O2">
        <v>5600</v>
      </c>
      <c r="P2">
        <v>74741.93548387097</v>
      </c>
      <c r="Q2">
        <v>69141.93548387097</v>
      </c>
    </row>
    <row r="3" spans="1:17" x14ac:dyDescent="0.3">
      <c r="A3" t="s">
        <v>21</v>
      </c>
      <c r="B3" t="s">
        <v>22</v>
      </c>
      <c r="C3" t="s">
        <v>55</v>
      </c>
      <c r="D3" t="s">
        <v>23</v>
      </c>
      <c r="E3">
        <v>25</v>
      </c>
      <c r="F3">
        <v>0</v>
      </c>
      <c r="G3">
        <v>2</v>
      </c>
      <c r="H3">
        <v>2</v>
      </c>
      <c r="I3">
        <v>4</v>
      </c>
      <c r="J3">
        <v>31</v>
      </c>
      <c r="K3">
        <v>31</v>
      </c>
      <c r="L3">
        <v>40000</v>
      </c>
      <c r="M3">
        <v>1290.3225806451612</v>
      </c>
      <c r="N3">
        <v>4000</v>
      </c>
      <c r="O3">
        <v>3200</v>
      </c>
      <c r="P3">
        <v>44000</v>
      </c>
      <c r="Q3">
        <v>40800</v>
      </c>
    </row>
    <row r="4" spans="1:17" x14ac:dyDescent="0.3">
      <c r="A4" t="s">
        <v>24</v>
      </c>
      <c r="B4" t="s">
        <v>25</v>
      </c>
      <c r="C4" t="s">
        <v>55</v>
      </c>
      <c r="D4" t="s">
        <v>26</v>
      </c>
      <c r="E4">
        <v>23</v>
      </c>
      <c r="F4">
        <v>2</v>
      </c>
      <c r="G4">
        <v>2</v>
      </c>
      <c r="H4">
        <v>2</v>
      </c>
      <c r="I4">
        <v>4</v>
      </c>
      <c r="J4">
        <v>31</v>
      </c>
      <c r="K4">
        <v>29</v>
      </c>
      <c r="L4">
        <v>50000</v>
      </c>
      <c r="M4">
        <v>1612.9032258064517</v>
      </c>
      <c r="N4">
        <v>5000</v>
      </c>
      <c r="O4">
        <v>4000</v>
      </c>
      <c r="P4">
        <v>51774.193548387098</v>
      </c>
      <c r="Q4">
        <v>47774.193548387098</v>
      </c>
    </row>
    <row r="5" spans="1:17" x14ac:dyDescent="0.3">
      <c r="A5" t="s">
        <v>27</v>
      </c>
      <c r="B5" t="s">
        <v>28</v>
      </c>
      <c r="C5" t="s">
        <v>55</v>
      </c>
      <c r="D5" t="s">
        <v>23</v>
      </c>
      <c r="E5">
        <v>25</v>
      </c>
      <c r="F5">
        <v>0</v>
      </c>
      <c r="G5">
        <v>2</v>
      </c>
      <c r="H5">
        <v>2</v>
      </c>
      <c r="I5">
        <v>4</v>
      </c>
      <c r="J5">
        <v>31</v>
      </c>
      <c r="K5">
        <v>31</v>
      </c>
      <c r="L5">
        <v>40000</v>
      </c>
      <c r="M5">
        <v>1290.3225806451612</v>
      </c>
      <c r="N5">
        <v>4000</v>
      </c>
      <c r="O5">
        <v>3200</v>
      </c>
      <c r="P5">
        <v>44000</v>
      </c>
      <c r="Q5">
        <v>40800</v>
      </c>
    </row>
    <row r="6" spans="1:17" x14ac:dyDescent="0.3">
      <c r="A6" t="s">
        <v>29</v>
      </c>
      <c r="B6" t="s">
        <v>30</v>
      </c>
      <c r="C6" t="s">
        <v>55</v>
      </c>
      <c r="D6" t="s">
        <v>31</v>
      </c>
      <c r="E6">
        <v>24</v>
      </c>
      <c r="F6">
        <v>1</v>
      </c>
      <c r="G6">
        <v>2</v>
      </c>
      <c r="H6">
        <v>2</v>
      </c>
      <c r="I6">
        <v>4</v>
      </c>
      <c r="J6">
        <v>31</v>
      </c>
      <c r="K6">
        <v>30</v>
      </c>
      <c r="L6">
        <v>25000</v>
      </c>
      <c r="M6">
        <v>806.45161290322585</v>
      </c>
      <c r="N6">
        <v>2500</v>
      </c>
      <c r="O6">
        <v>2000</v>
      </c>
      <c r="P6">
        <v>26693.548387096776</v>
      </c>
      <c r="Q6">
        <v>24693.548387096776</v>
      </c>
    </row>
    <row r="7" spans="1:17" x14ac:dyDescent="0.3">
      <c r="A7" t="s">
        <v>32</v>
      </c>
      <c r="B7" t="s">
        <v>33</v>
      </c>
      <c r="C7" t="s">
        <v>55</v>
      </c>
      <c r="D7" t="s">
        <v>31</v>
      </c>
      <c r="E7">
        <v>24</v>
      </c>
      <c r="F7">
        <v>1</v>
      </c>
      <c r="G7">
        <v>2</v>
      </c>
      <c r="H7">
        <v>2</v>
      </c>
      <c r="I7">
        <v>4</v>
      </c>
      <c r="J7">
        <v>31</v>
      </c>
      <c r="K7">
        <v>30</v>
      </c>
      <c r="L7">
        <v>25000</v>
      </c>
      <c r="M7">
        <v>806.45161290322585</v>
      </c>
      <c r="N7">
        <v>2500</v>
      </c>
      <c r="O7">
        <v>2000</v>
      </c>
      <c r="P7">
        <v>26693.548387096776</v>
      </c>
      <c r="Q7">
        <v>24693.548387096776</v>
      </c>
    </row>
    <row r="8" spans="1:17" x14ac:dyDescent="0.3">
      <c r="A8" t="s">
        <v>34</v>
      </c>
      <c r="B8" t="s">
        <v>35</v>
      </c>
      <c r="C8" t="s">
        <v>55</v>
      </c>
      <c r="D8" t="s">
        <v>36</v>
      </c>
      <c r="E8">
        <v>24</v>
      </c>
      <c r="F8">
        <v>1</v>
      </c>
      <c r="G8">
        <v>2</v>
      </c>
      <c r="H8">
        <v>2</v>
      </c>
      <c r="I8">
        <v>4</v>
      </c>
      <c r="J8">
        <v>31</v>
      </c>
      <c r="K8">
        <v>30</v>
      </c>
      <c r="L8">
        <v>30000</v>
      </c>
      <c r="M8">
        <v>967.74193548387098</v>
      </c>
      <c r="N8">
        <v>3000</v>
      </c>
      <c r="O8">
        <v>2400</v>
      </c>
      <c r="P8">
        <v>32032.258064516129</v>
      </c>
      <c r="Q8">
        <v>29632.258064516129</v>
      </c>
    </row>
    <row r="9" spans="1:17" x14ac:dyDescent="0.3">
      <c r="A9" t="s">
        <v>37</v>
      </c>
      <c r="B9" t="s">
        <v>38</v>
      </c>
      <c r="C9" t="s">
        <v>55</v>
      </c>
      <c r="D9" t="s">
        <v>20</v>
      </c>
      <c r="E9">
        <v>24</v>
      </c>
      <c r="F9">
        <v>1</v>
      </c>
      <c r="G9">
        <v>2</v>
      </c>
      <c r="H9">
        <v>2</v>
      </c>
      <c r="I9">
        <v>4</v>
      </c>
      <c r="J9">
        <v>31</v>
      </c>
      <c r="K9">
        <v>30</v>
      </c>
      <c r="L9">
        <v>70000</v>
      </c>
      <c r="M9">
        <v>2258.0645161290322</v>
      </c>
      <c r="N9">
        <v>7000</v>
      </c>
      <c r="O9">
        <v>5600</v>
      </c>
      <c r="P9">
        <v>74741.93548387097</v>
      </c>
      <c r="Q9">
        <v>69141.93548387097</v>
      </c>
    </row>
    <row r="10" spans="1:17" x14ac:dyDescent="0.3">
      <c r="A10" t="s">
        <v>39</v>
      </c>
      <c r="B10" t="s">
        <v>40</v>
      </c>
      <c r="C10" t="s">
        <v>55</v>
      </c>
      <c r="D10" t="s">
        <v>26</v>
      </c>
      <c r="E10">
        <v>24</v>
      </c>
      <c r="F10">
        <v>1</v>
      </c>
      <c r="G10">
        <v>2</v>
      </c>
      <c r="H10">
        <v>2</v>
      </c>
      <c r="I10">
        <v>4</v>
      </c>
      <c r="J10">
        <v>31</v>
      </c>
      <c r="K10">
        <v>30</v>
      </c>
      <c r="L10">
        <v>50000</v>
      </c>
      <c r="M10">
        <v>1612.9032258064517</v>
      </c>
      <c r="N10">
        <v>5000</v>
      </c>
      <c r="O10">
        <v>4000</v>
      </c>
      <c r="P10">
        <v>53387.096774193553</v>
      </c>
      <c r="Q10">
        <v>49387.096774193553</v>
      </c>
    </row>
    <row r="11" spans="1:17" x14ac:dyDescent="0.3">
      <c r="A11" t="s">
        <v>41</v>
      </c>
      <c r="B11" t="s">
        <v>42</v>
      </c>
      <c r="C11" t="s">
        <v>55</v>
      </c>
      <c r="D11" t="s">
        <v>43</v>
      </c>
      <c r="E11">
        <v>24</v>
      </c>
      <c r="F11">
        <v>1</v>
      </c>
      <c r="G11">
        <v>2</v>
      </c>
      <c r="H11">
        <v>2</v>
      </c>
      <c r="I11">
        <v>4</v>
      </c>
      <c r="J11">
        <v>31</v>
      </c>
      <c r="K11">
        <v>30</v>
      </c>
      <c r="L11">
        <v>12000</v>
      </c>
      <c r="M11">
        <v>387.09677419354841</v>
      </c>
      <c r="N11">
        <v>1200</v>
      </c>
      <c r="O11">
        <v>960</v>
      </c>
      <c r="P11">
        <v>12812.903225806453</v>
      </c>
      <c r="Q11">
        <v>11852.903225806453</v>
      </c>
    </row>
    <row r="12" spans="1:17" x14ac:dyDescent="0.3">
      <c r="A12" t="s">
        <v>44</v>
      </c>
      <c r="B12" t="s">
        <v>45</v>
      </c>
      <c r="C12" t="s">
        <v>55</v>
      </c>
      <c r="D12" t="s">
        <v>43</v>
      </c>
      <c r="E12">
        <v>24</v>
      </c>
      <c r="F12">
        <v>1</v>
      </c>
      <c r="G12">
        <v>2</v>
      </c>
      <c r="H12">
        <v>2</v>
      </c>
      <c r="I12">
        <v>4</v>
      </c>
      <c r="J12">
        <v>31</v>
      </c>
      <c r="K12">
        <v>30</v>
      </c>
      <c r="L12">
        <v>12000</v>
      </c>
      <c r="M12">
        <v>387.09677419354841</v>
      </c>
      <c r="N12">
        <v>1200</v>
      </c>
      <c r="O12">
        <v>960</v>
      </c>
      <c r="P12">
        <v>12812.903225806453</v>
      </c>
      <c r="Q12">
        <v>11852.903225806453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6C0A-534E-47DA-AE15-1DF2A1B68AB8}">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54</v>
      </c>
      <c r="D2" t="s">
        <v>20</v>
      </c>
      <c r="E2">
        <v>24</v>
      </c>
      <c r="F2">
        <v>1</v>
      </c>
      <c r="G2">
        <v>1</v>
      </c>
      <c r="H2">
        <v>1</v>
      </c>
      <c r="I2">
        <v>3</v>
      </c>
      <c r="J2">
        <v>30</v>
      </c>
      <c r="K2">
        <v>28</v>
      </c>
      <c r="L2">
        <v>70000</v>
      </c>
      <c r="M2">
        <v>2333.3333333333335</v>
      </c>
      <c r="N2">
        <v>7000</v>
      </c>
      <c r="O2">
        <v>5600</v>
      </c>
      <c r="P2">
        <v>72333.333333333343</v>
      </c>
      <c r="Q2">
        <v>66733.333333333343</v>
      </c>
    </row>
    <row r="3" spans="1:17" x14ac:dyDescent="0.3">
      <c r="A3" t="s">
        <v>21</v>
      </c>
      <c r="B3" t="s">
        <v>22</v>
      </c>
      <c r="C3" t="s">
        <v>54</v>
      </c>
      <c r="D3" t="s">
        <v>23</v>
      </c>
      <c r="E3">
        <v>25</v>
      </c>
      <c r="F3">
        <v>0</v>
      </c>
      <c r="G3">
        <v>1</v>
      </c>
      <c r="H3">
        <v>1</v>
      </c>
      <c r="I3">
        <v>3</v>
      </c>
      <c r="J3">
        <v>30</v>
      </c>
      <c r="K3">
        <v>29</v>
      </c>
      <c r="L3">
        <v>40000</v>
      </c>
      <c r="M3">
        <v>1333.3333333333333</v>
      </c>
      <c r="N3">
        <v>4000</v>
      </c>
      <c r="O3">
        <v>3200</v>
      </c>
      <c r="P3">
        <v>42666.666666666664</v>
      </c>
      <c r="Q3">
        <v>39466.666666666664</v>
      </c>
    </row>
    <row r="4" spans="1:17" x14ac:dyDescent="0.3">
      <c r="A4" t="s">
        <v>24</v>
      </c>
      <c r="B4" t="s">
        <v>25</v>
      </c>
      <c r="C4" t="s">
        <v>54</v>
      </c>
      <c r="D4" t="s">
        <v>26</v>
      </c>
      <c r="E4">
        <v>24</v>
      </c>
      <c r="F4">
        <v>1</v>
      </c>
      <c r="G4">
        <v>1</v>
      </c>
      <c r="H4">
        <v>1</v>
      </c>
      <c r="I4">
        <v>3</v>
      </c>
      <c r="J4">
        <v>30</v>
      </c>
      <c r="K4">
        <v>28</v>
      </c>
      <c r="L4">
        <v>50000</v>
      </c>
      <c r="M4">
        <v>1666.6666666666667</v>
      </c>
      <c r="N4">
        <v>5000</v>
      </c>
      <c r="O4">
        <v>4000</v>
      </c>
      <c r="P4">
        <v>51666.666666666672</v>
      </c>
      <c r="Q4">
        <v>47666.666666666672</v>
      </c>
    </row>
    <row r="5" spans="1:17" x14ac:dyDescent="0.3">
      <c r="A5" t="s">
        <v>27</v>
      </c>
      <c r="B5" t="s">
        <v>28</v>
      </c>
      <c r="C5" t="s">
        <v>54</v>
      </c>
      <c r="D5" t="s">
        <v>23</v>
      </c>
      <c r="E5">
        <v>25</v>
      </c>
      <c r="F5">
        <v>0</v>
      </c>
      <c r="G5">
        <v>1</v>
      </c>
      <c r="H5">
        <v>1</v>
      </c>
      <c r="I5">
        <v>3</v>
      </c>
      <c r="J5">
        <v>30</v>
      </c>
      <c r="K5">
        <v>29</v>
      </c>
      <c r="L5">
        <v>40000</v>
      </c>
      <c r="M5">
        <v>1333.3333333333333</v>
      </c>
      <c r="N5">
        <v>4000</v>
      </c>
      <c r="O5">
        <v>3200</v>
      </c>
      <c r="P5">
        <v>42666.666666666664</v>
      </c>
      <c r="Q5">
        <v>39466.666666666664</v>
      </c>
    </row>
    <row r="6" spans="1:17" x14ac:dyDescent="0.3">
      <c r="A6" t="s">
        <v>29</v>
      </c>
      <c r="B6" t="s">
        <v>30</v>
      </c>
      <c r="C6" t="s">
        <v>54</v>
      </c>
      <c r="D6" t="s">
        <v>31</v>
      </c>
      <c r="E6">
        <v>24</v>
      </c>
      <c r="F6">
        <v>1</v>
      </c>
      <c r="G6">
        <v>1</v>
      </c>
      <c r="H6">
        <v>1</v>
      </c>
      <c r="I6">
        <v>3</v>
      </c>
      <c r="J6">
        <v>30</v>
      </c>
      <c r="K6">
        <v>28</v>
      </c>
      <c r="L6">
        <v>25000</v>
      </c>
      <c r="M6">
        <v>833.33333333333337</v>
      </c>
      <c r="N6">
        <v>2500</v>
      </c>
      <c r="O6">
        <v>2000</v>
      </c>
      <c r="P6">
        <v>25833.333333333336</v>
      </c>
      <c r="Q6">
        <v>23833.333333333336</v>
      </c>
    </row>
    <row r="7" spans="1:17" x14ac:dyDescent="0.3">
      <c r="A7" t="s">
        <v>32</v>
      </c>
      <c r="B7" t="s">
        <v>53</v>
      </c>
      <c r="C7" t="s">
        <v>54</v>
      </c>
      <c r="D7" t="s">
        <v>31</v>
      </c>
      <c r="E7">
        <v>25</v>
      </c>
      <c r="F7">
        <v>0</v>
      </c>
      <c r="G7">
        <v>1</v>
      </c>
      <c r="H7">
        <v>1</v>
      </c>
      <c r="I7">
        <v>3</v>
      </c>
      <c r="J7">
        <v>30</v>
      </c>
      <c r="K7">
        <v>29</v>
      </c>
      <c r="L7">
        <v>25000</v>
      </c>
      <c r="M7">
        <v>833.33333333333337</v>
      </c>
      <c r="N7">
        <v>2500</v>
      </c>
      <c r="O7">
        <v>2000</v>
      </c>
      <c r="P7">
        <v>26666.666666666668</v>
      </c>
      <c r="Q7">
        <v>24666.666666666668</v>
      </c>
    </row>
    <row r="8" spans="1:17" x14ac:dyDescent="0.3">
      <c r="A8" t="s">
        <v>34</v>
      </c>
      <c r="B8" t="s">
        <v>35</v>
      </c>
      <c r="C8" t="s">
        <v>54</v>
      </c>
      <c r="D8" t="s">
        <v>36</v>
      </c>
      <c r="E8">
        <v>23</v>
      </c>
      <c r="F8">
        <v>2</v>
      </c>
      <c r="G8">
        <v>1</v>
      </c>
      <c r="H8">
        <v>1</v>
      </c>
      <c r="I8">
        <v>3</v>
      </c>
      <c r="J8">
        <v>30</v>
      </c>
      <c r="K8">
        <v>27</v>
      </c>
      <c r="L8">
        <v>30000</v>
      </c>
      <c r="M8">
        <v>1000</v>
      </c>
      <c r="N8">
        <v>3000</v>
      </c>
      <c r="O8">
        <v>2400</v>
      </c>
      <c r="P8">
        <v>30000</v>
      </c>
      <c r="Q8">
        <v>27600</v>
      </c>
    </row>
    <row r="9" spans="1:17" x14ac:dyDescent="0.3">
      <c r="A9" t="s">
        <v>37</v>
      </c>
      <c r="B9" t="s">
        <v>38</v>
      </c>
      <c r="C9" t="s">
        <v>54</v>
      </c>
      <c r="D9" t="s">
        <v>20</v>
      </c>
      <c r="E9">
        <v>25</v>
      </c>
      <c r="F9">
        <v>0</v>
      </c>
      <c r="G9">
        <v>1</v>
      </c>
      <c r="H9">
        <v>1</v>
      </c>
      <c r="I9">
        <v>3</v>
      </c>
      <c r="J9">
        <v>30</v>
      </c>
      <c r="K9">
        <v>29</v>
      </c>
      <c r="L9">
        <v>70000</v>
      </c>
      <c r="M9">
        <v>2333.3333333333335</v>
      </c>
      <c r="N9">
        <v>7000</v>
      </c>
      <c r="O9">
        <v>5600</v>
      </c>
      <c r="P9">
        <v>74666.666666666672</v>
      </c>
      <c r="Q9">
        <v>69066.666666666672</v>
      </c>
    </row>
    <row r="10" spans="1:17" x14ac:dyDescent="0.3">
      <c r="A10" t="s">
        <v>39</v>
      </c>
      <c r="B10" t="s">
        <v>40</v>
      </c>
      <c r="C10" t="s">
        <v>54</v>
      </c>
      <c r="D10" t="s">
        <v>26</v>
      </c>
      <c r="E10">
        <v>24</v>
      </c>
      <c r="F10">
        <v>1</v>
      </c>
      <c r="G10">
        <v>1</v>
      </c>
      <c r="H10">
        <v>1</v>
      </c>
      <c r="I10">
        <v>3</v>
      </c>
      <c r="J10">
        <v>30</v>
      </c>
      <c r="K10">
        <v>28</v>
      </c>
      <c r="L10">
        <v>50000</v>
      </c>
      <c r="M10">
        <v>1666.6666666666667</v>
      </c>
      <c r="N10">
        <v>5000</v>
      </c>
      <c r="O10">
        <v>4000</v>
      </c>
      <c r="P10">
        <v>51666.666666666672</v>
      </c>
      <c r="Q10">
        <v>47666.666666666672</v>
      </c>
    </row>
    <row r="11" spans="1:17" x14ac:dyDescent="0.3">
      <c r="A11" t="s">
        <v>41</v>
      </c>
      <c r="B11" t="s">
        <v>42</v>
      </c>
      <c r="C11" t="s">
        <v>54</v>
      </c>
      <c r="D11" t="s">
        <v>43</v>
      </c>
      <c r="E11">
        <v>23</v>
      </c>
      <c r="F11">
        <v>2</v>
      </c>
      <c r="G11">
        <v>1</v>
      </c>
      <c r="H11">
        <v>1</v>
      </c>
      <c r="I11">
        <v>3</v>
      </c>
      <c r="J11">
        <v>30</v>
      </c>
      <c r="K11">
        <v>27</v>
      </c>
      <c r="L11">
        <v>12000</v>
      </c>
      <c r="M11">
        <v>400</v>
      </c>
      <c r="N11">
        <v>1200</v>
      </c>
      <c r="O11">
        <v>960</v>
      </c>
      <c r="P11">
        <v>12000</v>
      </c>
      <c r="Q11">
        <v>11040</v>
      </c>
    </row>
    <row r="12" spans="1:17" x14ac:dyDescent="0.3">
      <c r="A12" t="s">
        <v>44</v>
      </c>
      <c r="B12" t="s">
        <v>45</v>
      </c>
      <c r="C12" t="s">
        <v>54</v>
      </c>
      <c r="D12" t="s">
        <v>43</v>
      </c>
      <c r="E12">
        <v>24</v>
      </c>
      <c r="F12">
        <v>1</v>
      </c>
      <c r="G12">
        <v>1</v>
      </c>
      <c r="H12">
        <v>1</v>
      </c>
      <c r="I12">
        <v>3</v>
      </c>
      <c r="J12">
        <v>30</v>
      </c>
      <c r="K12">
        <v>28</v>
      </c>
      <c r="L12">
        <v>12000</v>
      </c>
      <c r="M12">
        <v>400</v>
      </c>
      <c r="N12">
        <v>1200</v>
      </c>
      <c r="O12">
        <v>960</v>
      </c>
      <c r="P12">
        <v>12400</v>
      </c>
      <c r="Q12">
        <v>11440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A886-EB2B-4E58-A3D0-E0EA2FEFD2EE}">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52</v>
      </c>
      <c r="D2" t="s">
        <v>20</v>
      </c>
      <c r="E2">
        <v>21</v>
      </c>
      <c r="F2">
        <v>1</v>
      </c>
      <c r="G2">
        <v>4</v>
      </c>
      <c r="H2">
        <v>4</v>
      </c>
      <c r="I2">
        <v>4</v>
      </c>
      <c r="J2">
        <v>31</v>
      </c>
      <c r="K2">
        <v>29</v>
      </c>
      <c r="L2">
        <v>70000</v>
      </c>
      <c r="M2">
        <v>2258.0645161290322</v>
      </c>
      <c r="N2">
        <v>7000</v>
      </c>
      <c r="O2">
        <v>5600</v>
      </c>
      <c r="P2">
        <v>72483.870967741939</v>
      </c>
      <c r="Q2">
        <v>66883.870967741939</v>
      </c>
    </row>
    <row r="3" spans="1:17" x14ac:dyDescent="0.3">
      <c r="A3" t="s">
        <v>21</v>
      </c>
      <c r="B3" t="s">
        <v>22</v>
      </c>
      <c r="C3" t="s">
        <v>52</v>
      </c>
      <c r="D3" t="s">
        <v>23</v>
      </c>
      <c r="E3">
        <v>21</v>
      </c>
      <c r="F3">
        <v>1</v>
      </c>
      <c r="G3">
        <v>4</v>
      </c>
      <c r="H3">
        <v>4</v>
      </c>
      <c r="I3">
        <v>4</v>
      </c>
      <c r="J3">
        <v>31</v>
      </c>
      <c r="K3">
        <v>29</v>
      </c>
      <c r="L3">
        <v>40000</v>
      </c>
      <c r="M3">
        <v>1290.3225806451612</v>
      </c>
      <c r="N3">
        <v>4000</v>
      </c>
      <c r="O3">
        <v>3200</v>
      </c>
      <c r="P3">
        <v>41419.354838709674</v>
      </c>
      <c r="Q3">
        <v>38219.354838709674</v>
      </c>
    </row>
    <row r="4" spans="1:17" x14ac:dyDescent="0.3">
      <c r="A4" t="s">
        <v>24</v>
      </c>
      <c r="B4" t="s">
        <v>25</v>
      </c>
      <c r="C4" t="s">
        <v>53</v>
      </c>
      <c r="D4" t="s">
        <v>26</v>
      </c>
      <c r="E4">
        <v>21</v>
      </c>
      <c r="F4">
        <v>1</v>
      </c>
      <c r="G4">
        <v>4</v>
      </c>
      <c r="H4">
        <v>4</v>
      </c>
      <c r="I4">
        <v>4</v>
      </c>
      <c r="J4">
        <v>31</v>
      </c>
      <c r="K4">
        <v>29</v>
      </c>
      <c r="L4">
        <v>50000</v>
      </c>
      <c r="M4">
        <v>1612.9032258064517</v>
      </c>
      <c r="N4">
        <v>5000</v>
      </c>
      <c r="O4">
        <v>4000</v>
      </c>
      <c r="P4">
        <v>51774.193548387098</v>
      </c>
      <c r="Q4">
        <v>47774.193548387098</v>
      </c>
    </row>
    <row r="5" spans="1:17" x14ac:dyDescent="0.3">
      <c r="A5" t="s">
        <v>27</v>
      </c>
      <c r="B5" t="s">
        <v>28</v>
      </c>
      <c r="C5" t="s">
        <v>52</v>
      </c>
      <c r="D5" t="s">
        <v>23</v>
      </c>
      <c r="E5">
        <v>22</v>
      </c>
      <c r="F5">
        <v>0</v>
      </c>
      <c r="G5">
        <v>4</v>
      </c>
      <c r="H5">
        <v>4</v>
      </c>
      <c r="I5">
        <v>4</v>
      </c>
      <c r="J5">
        <v>31</v>
      </c>
      <c r="K5">
        <v>30</v>
      </c>
      <c r="L5">
        <v>40000</v>
      </c>
      <c r="M5">
        <v>1290.3225806451612</v>
      </c>
      <c r="N5">
        <v>4000</v>
      </c>
      <c r="O5">
        <v>3200</v>
      </c>
      <c r="P5">
        <v>42709.677419354834</v>
      </c>
      <c r="Q5">
        <v>39509.677419354834</v>
      </c>
    </row>
    <row r="6" spans="1:17" x14ac:dyDescent="0.3">
      <c r="A6" t="s">
        <v>29</v>
      </c>
      <c r="B6" t="s">
        <v>30</v>
      </c>
      <c r="C6" t="s">
        <v>52</v>
      </c>
      <c r="D6" t="s">
        <v>31</v>
      </c>
      <c r="E6">
        <v>20</v>
      </c>
      <c r="F6">
        <v>2</v>
      </c>
      <c r="G6">
        <v>4</v>
      </c>
      <c r="H6">
        <v>4</v>
      </c>
      <c r="I6">
        <v>4</v>
      </c>
      <c r="J6">
        <v>31</v>
      </c>
      <c r="K6">
        <v>28</v>
      </c>
      <c r="L6">
        <v>25000</v>
      </c>
      <c r="M6">
        <v>806.45161290322585</v>
      </c>
      <c r="N6">
        <v>2500</v>
      </c>
      <c r="O6">
        <v>2000</v>
      </c>
      <c r="P6">
        <v>25080.645161290326</v>
      </c>
      <c r="Q6">
        <v>23080.645161290326</v>
      </c>
    </row>
    <row r="7" spans="1:17" x14ac:dyDescent="0.3">
      <c r="A7" t="s">
        <v>32</v>
      </c>
      <c r="B7" t="s">
        <v>33</v>
      </c>
      <c r="C7" t="s">
        <v>52</v>
      </c>
      <c r="D7" t="s">
        <v>31</v>
      </c>
      <c r="E7">
        <v>22</v>
      </c>
      <c r="F7">
        <v>0</v>
      </c>
      <c r="G7">
        <v>4</v>
      </c>
      <c r="H7">
        <v>4</v>
      </c>
      <c r="I7">
        <v>4</v>
      </c>
      <c r="J7">
        <v>31</v>
      </c>
      <c r="K7">
        <v>30</v>
      </c>
      <c r="L7">
        <v>25000</v>
      </c>
      <c r="M7">
        <v>806.45161290322585</v>
      </c>
      <c r="N7">
        <v>2500</v>
      </c>
      <c r="O7">
        <v>2000</v>
      </c>
      <c r="P7">
        <v>26693.548387096776</v>
      </c>
      <c r="Q7">
        <v>24693.548387096776</v>
      </c>
    </row>
    <row r="8" spans="1:17" x14ac:dyDescent="0.3">
      <c r="A8" t="s">
        <v>34</v>
      </c>
      <c r="B8" t="s">
        <v>35</v>
      </c>
      <c r="C8" t="s">
        <v>52</v>
      </c>
      <c r="D8" t="s">
        <v>36</v>
      </c>
      <c r="E8">
        <v>22</v>
      </c>
      <c r="F8">
        <v>0</v>
      </c>
      <c r="G8">
        <v>4</v>
      </c>
      <c r="H8">
        <v>4</v>
      </c>
      <c r="I8">
        <v>4</v>
      </c>
      <c r="J8">
        <v>31</v>
      </c>
      <c r="K8">
        <v>30</v>
      </c>
      <c r="L8">
        <v>30000</v>
      </c>
      <c r="M8">
        <v>967.74193548387098</v>
      </c>
      <c r="N8">
        <v>3000</v>
      </c>
      <c r="O8">
        <v>2400</v>
      </c>
      <c r="P8">
        <v>32032.258064516129</v>
      </c>
      <c r="Q8">
        <v>29632.258064516129</v>
      </c>
    </row>
    <row r="9" spans="1:17" x14ac:dyDescent="0.3">
      <c r="A9" t="s">
        <v>37</v>
      </c>
      <c r="B9" t="s">
        <v>38</v>
      </c>
      <c r="C9" t="s">
        <v>52</v>
      </c>
      <c r="D9" t="s">
        <v>20</v>
      </c>
      <c r="E9">
        <v>21</v>
      </c>
      <c r="F9">
        <v>1</v>
      </c>
      <c r="G9">
        <v>4</v>
      </c>
      <c r="H9">
        <v>4</v>
      </c>
      <c r="I9">
        <v>4</v>
      </c>
      <c r="J9">
        <v>31</v>
      </c>
      <c r="K9">
        <v>29</v>
      </c>
      <c r="L9">
        <v>70000</v>
      </c>
      <c r="M9">
        <v>2258.0645161290322</v>
      </c>
      <c r="N9">
        <v>7000</v>
      </c>
      <c r="O9">
        <v>5600</v>
      </c>
      <c r="P9">
        <v>72483.870967741939</v>
      </c>
      <c r="Q9">
        <v>66883.870967741939</v>
      </c>
    </row>
    <row r="10" spans="1:17" x14ac:dyDescent="0.3">
      <c r="A10" t="s">
        <v>39</v>
      </c>
      <c r="B10" t="s">
        <v>40</v>
      </c>
      <c r="C10" t="s">
        <v>52</v>
      </c>
      <c r="D10" t="s">
        <v>26</v>
      </c>
      <c r="E10">
        <v>21</v>
      </c>
      <c r="F10">
        <v>1</v>
      </c>
      <c r="G10">
        <v>4</v>
      </c>
      <c r="H10">
        <v>4</v>
      </c>
      <c r="I10">
        <v>4</v>
      </c>
      <c r="J10">
        <v>31</v>
      </c>
      <c r="K10">
        <v>29</v>
      </c>
      <c r="L10">
        <v>50000</v>
      </c>
      <c r="M10">
        <v>1612.9032258064517</v>
      </c>
      <c r="N10">
        <v>5000</v>
      </c>
      <c r="O10">
        <v>4000</v>
      </c>
      <c r="P10">
        <v>51774.193548387098</v>
      </c>
      <c r="Q10">
        <v>47774.193548387098</v>
      </c>
    </row>
    <row r="11" spans="1:17" x14ac:dyDescent="0.3">
      <c r="A11" t="s">
        <v>41</v>
      </c>
      <c r="B11" t="s">
        <v>42</v>
      </c>
      <c r="C11" t="s">
        <v>52</v>
      </c>
      <c r="D11" t="s">
        <v>43</v>
      </c>
      <c r="E11">
        <v>22</v>
      </c>
      <c r="F11">
        <v>0</v>
      </c>
      <c r="G11">
        <v>4</v>
      </c>
      <c r="H11">
        <v>4</v>
      </c>
      <c r="I11">
        <v>4</v>
      </c>
      <c r="J11">
        <v>31</v>
      </c>
      <c r="K11">
        <v>30</v>
      </c>
      <c r="L11">
        <v>12000</v>
      </c>
      <c r="M11">
        <v>387.09677419354841</v>
      </c>
      <c r="N11">
        <v>1200</v>
      </c>
      <c r="O11">
        <v>960</v>
      </c>
      <c r="P11">
        <v>12812.903225806453</v>
      </c>
      <c r="Q11">
        <v>11852.903225806453</v>
      </c>
    </row>
    <row r="12" spans="1:17" x14ac:dyDescent="0.3">
      <c r="A12" t="s">
        <v>44</v>
      </c>
      <c r="B12" t="s">
        <v>45</v>
      </c>
      <c r="C12" t="s">
        <v>52</v>
      </c>
      <c r="D12" t="s">
        <v>43</v>
      </c>
      <c r="E12">
        <v>21</v>
      </c>
      <c r="F12">
        <v>1</v>
      </c>
      <c r="G12">
        <v>4</v>
      </c>
      <c r="H12">
        <v>4</v>
      </c>
      <c r="I12">
        <v>4</v>
      </c>
      <c r="J12">
        <v>31</v>
      </c>
      <c r="K12">
        <v>29</v>
      </c>
      <c r="L12">
        <v>12000</v>
      </c>
      <c r="M12">
        <v>387.09677419354841</v>
      </c>
      <c r="N12">
        <v>1200</v>
      </c>
      <c r="O12">
        <v>960</v>
      </c>
      <c r="P12">
        <v>12425.806451612903</v>
      </c>
      <c r="Q12">
        <v>11465.806451612903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94864-1897-4BD3-AC83-AFE7A0B952C6}">
  <dimension ref="A1:Q12"/>
  <sheetViews>
    <sheetView workbookViewId="0"/>
  </sheetViews>
  <sheetFormatPr defaultRowHeight="14.4" x14ac:dyDescent="0.3"/>
  <cols>
    <col min="1" max="1" width="9.21875" bestFit="1" customWidth="1"/>
    <col min="2" max="2" width="15.88671875" bestFit="1" customWidth="1"/>
    <col min="3" max="3" width="9" bestFit="1" customWidth="1"/>
    <col min="4" max="4" width="13.109375" bestFit="1" customWidth="1"/>
    <col min="5" max="5" width="10.77734375" bestFit="1" customWidth="1"/>
    <col min="6" max="6" width="10.33203125" bestFit="1" customWidth="1"/>
    <col min="7" max="7" width="8.109375" bestFit="1" customWidth="1"/>
    <col min="8" max="8" width="9.44140625" bestFit="1" customWidth="1"/>
    <col min="9" max="9" width="10.88671875" bestFit="1" customWidth="1"/>
    <col min="10" max="10" width="20.33203125" bestFit="1" customWidth="1"/>
    <col min="11" max="11" width="19.109375" bestFit="1" customWidth="1"/>
    <col min="12" max="12" width="13" bestFit="1" customWidth="1"/>
    <col min="13" max="13" width="15.109375" bestFit="1" customWidth="1"/>
    <col min="14" max="14" width="6.77734375" bestFit="1" customWidth="1"/>
    <col min="15" max="15" width="5.21875" bestFit="1" customWidth="1"/>
    <col min="16" max="16" width="14.77734375" bestFit="1" customWidth="1"/>
    <col min="17" max="17" width="17.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51</v>
      </c>
      <c r="D2" t="s">
        <v>20</v>
      </c>
      <c r="E2">
        <v>19</v>
      </c>
      <c r="F2">
        <v>1</v>
      </c>
      <c r="G2">
        <v>4</v>
      </c>
      <c r="H2">
        <v>4</v>
      </c>
      <c r="I2">
        <v>1</v>
      </c>
      <c r="J2">
        <v>28</v>
      </c>
      <c r="K2">
        <v>24</v>
      </c>
      <c r="L2">
        <v>70000</v>
      </c>
      <c r="M2">
        <v>2500</v>
      </c>
      <c r="N2">
        <v>7000</v>
      </c>
      <c r="O2">
        <v>5600</v>
      </c>
      <c r="P2">
        <v>67000</v>
      </c>
      <c r="Q2">
        <v>61400</v>
      </c>
    </row>
    <row r="3" spans="1:17" x14ac:dyDescent="0.3">
      <c r="A3" t="s">
        <v>21</v>
      </c>
      <c r="B3" t="s">
        <v>22</v>
      </c>
      <c r="C3" t="s">
        <v>51</v>
      </c>
      <c r="D3" t="s">
        <v>23</v>
      </c>
      <c r="E3">
        <v>20</v>
      </c>
      <c r="F3">
        <v>0</v>
      </c>
      <c r="G3">
        <v>4</v>
      </c>
      <c r="H3">
        <v>4</v>
      </c>
      <c r="I3">
        <v>1</v>
      </c>
      <c r="J3">
        <v>28</v>
      </c>
      <c r="K3">
        <v>25</v>
      </c>
      <c r="L3">
        <v>40000</v>
      </c>
      <c r="M3">
        <v>1428.5714285714287</v>
      </c>
      <c r="N3">
        <v>4000</v>
      </c>
      <c r="O3">
        <v>3200</v>
      </c>
      <c r="P3">
        <v>39714.285714285717</v>
      </c>
      <c r="Q3">
        <v>36514.285714285717</v>
      </c>
    </row>
    <row r="4" spans="1:17" x14ac:dyDescent="0.3">
      <c r="A4" t="s">
        <v>24</v>
      </c>
      <c r="B4" t="s">
        <v>25</v>
      </c>
      <c r="C4" t="s">
        <v>51</v>
      </c>
      <c r="D4" t="s">
        <v>26</v>
      </c>
      <c r="E4">
        <v>19</v>
      </c>
      <c r="F4">
        <v>1</v>
      </c>
      <c r="G4">
        <v>4</v>
      </c>
      <c r="H4">
        <v>4</v>
      </c>
      <c r="I4">
        <v>1</v>
      </c>
      <c r="J4">
        <v>28</v>
      </c>
      <c r="K4">
        <v>24</v>
      </c>
      <c r="L4">
        <v>50000</v>
      </c>
      <c r="M4">
        <v>1785.7142857142858</v>
      </c>
      <c r="N4">
        <v>5000</v>
      </c>
      <c r="O4">
        <v>4000</v>
      </c>
      <c r="P4">
        <v>47857.142857142855</v>
      </c>
      <c r="Q4">
        <v>43857.142857142855</v>
      </c>
    </row>
    <row r="5" spans="1:17" x14ac:dyDescent="0.3">
      <c r="A5" t="s">
        <v>27</v>
      </c>
      <c r="B5" t="s">
        <v>28</v>
      </c>
      <c r="C5" t="s">
        <v>51</v>
      </c>
      <c r="D5" t="s">
        <v>23</v>
      </c>
      <c r="E5">
        <v>19</v>
      </c>
      <c r="F5">
        <v>1</v>
      </c>
      <c r="G5">
        <v>4</v>
      </c>
      <c r="H5">
        <v>4</v>
      </c>
      <c r="I5">
        <v>1</v>
      </c>
      <c r="J5">
        <v>28</v>
      </c>
      <c r="K5">
        <v>24</v>
      </c>
      <c r="L5">
        <v>40000</v>
      </c>
      <c r="M5">
        <v>1428.5714285714287</v>
      </c>
      <c r="N5">
        <v>4000</v>
      </c>
      <c r="O5">
        <v>3200</v>
      </c>
      <c r="P5">
        <v>38285.71428571429</v>
      </c>
      <c r="Q5">
        <v>35085.71428571429</v>
      </c>
    </row>
    <row r="6" spans="1:17" x14ac:dyDescent="0.3">
      <c r="A6" t="s">
        <v>29</v>
      </c>
      <c r="B6" t="s">
        <v>30</v>
      </c>
      <c r="C6" t="s">
        <v>51</v>
      </c>
      <c r="D6" t="s">
        <v>31</v>
      </c>
      <c r="E6">
        <v>19</v>
      </c>
      <c r="F6">
        <v>1</v>
      </c>
      <c r="G6">
        <v>4</v>
      </c>
      <c r="H6">
        <v>4</v>
      </c>
      <c r="I6">
        <v>1</v>
      </c>
      <c r="J6">
        <v>28</v>
      </c>
      <c r="K6">
        <v>24</v>
      </c>
      <c r="L6">
        <v>25000</v>
      </c>
      <c r="M6">
        <v>892.85714285714289</v>
      </c>
      <c r="N6">
        <v>2500</v>
      </c>
      <c r="O6">
        <v>2000</v>
      </c>
      <c r="P6">
        <v>23928.571428571428</v>
      </c>
      <c r="Q6">
        <v>21928.571428571428</v>
      </c>
    </row>
    <row r="7" spans="1:17" x14ac:dyDescent="0.3">
      <c r="A7" t="s">
        <v>32</v>
      </c>
      <c r="B7" t="s">
        <v>33</v>
      </c>
      <c r="C7" t="s">
        <v>51</v>
      </c>
      <c r="D7" t="s">
        <v>31</v>
      </c>
      <c r="E7">
        <v>18</v>
      </c>
      <c r="F7">
        <v>2</v>
      </c>
      <c r="G7">
        <v>4</v>
      </c>
      <c r="H7">
        <v>4</v>
      </c>
      <c r="I7">
        <v>1</v>
      </c>
      <c r="J7">
        <v>28</v>
      </c>
      <c r="K7">
        <v>23</v>
      </c>
      <c r="L7">
        <v>25000</v>
      </c>
      <c r="M7">
        <v>892.85714285714289</v>
      </c>
      <c r="N7">
        <v>2500</v>
      </c>
      <c r="O7">
        <v>2000</v>
      </c>
      <c r="P7">
        <v>23035.714285714286</v>
      </c>
      <c r="Q7">
        <v>21035.714285714286</v>
      </c>
    </row>
    <row r="8" spans="1:17" x14ac:dyDescent="0.3">
      <c r="A8" t="s">
        <v>34</v>
      </c>
      <c r="B8" t="s">
        <v>35</v>
      </c>
      <c r="C8" t="s">
        <v>51</v>
      </c>
      <c r="D8" t="s">
        <v>36</v>
      </c>
      <c r="E8">
        <v>20</v>
      </c>
      <c r="F8">
        <v>0</v>
      </c>
      <c r="G8">
        <v>4</v>
      </c>
      <c r="H8">
        <v>4</v>
      </c>
      <c r="I8">
        <v>1</v>
      </c>
      <c r="J8">
        <v>28</v>
      </c>
      <c r="K8">
        <v>25</v>
      </c>
      <c r="L8">
        <v>30000</v>
      </c>
      <c r="M8">
        <v>1071.4285714285713</v>
      </c>
      <c r="N8">
        <v>3000</v>
      </c>
      <c r="O8">
        <v>2400</v>
      </c>
      <c r="P8">
        <v>29785.714285714283</v>
      </c>
      <c r="Q8">
        <v>27385.714285714283</v>
      </c>
    </row>
    <row r="9" spans="1:17" x14ac:dyDescent="0.3">
      <c r="A9" t="s">
        <v>37</v>
      </c>
      <c r="B9" t="s">
        <v>38</v>
      </c>
      <c r="C9" t="s">
        <v>51</v>
      </c>
      <c r="D9" t="s">
        <v>20</v>
      </c>
      <c r="E9">
        <v>19</v>
      </c>
      <c r="F9">
        <v>1</v>
      </c>
      <c r="G9">
        <v>4</v>
      </c>
      <c r="H9">
        <v>4</v>
      </c>
      <c r="I9">
        <v>1</v>
      </c>
      <c r="J9">
        <v>28</v>
      </c>
      <c r="K9">
        <v>24</v>
      </c>
      <c r="L9">
        <v>70000</v>
      </c>
      <c r="M9">
        <v>2500</v>
      </c>
      <c r="N9">
        <v>7000</v>
      </c>
      <c r="O9">
        <v>5600</v>
      </c>
      <c r="P9">
        <v>67000</v>
      </c>
      <c r="Q9">
        <v>61400</v>
      </c>
    </row>
    <row r="10" spans="1:17" x14ac:dyDescent="0.3">
      <c r="A10" t="s">
        <v>39</v>
      </c>
      <c r="B10" t="s">
        <v>40</v>
      </c>
      <c r="C10" t="s">
        <v>51</v>
      </c>
      <c r="D10" t="s">
        <v>26</v>
      </c>
      <c r="E10">
        <v>19</v>
      </c>
      <c r="F10">
        <v>1</v>
      </c>
      <c r="G10">
        <v>4</v>
      </c>
      <c r="H10">
        <v>4</v>
      </c>
      <c r="I10">
        <v>1</v>
      </c>
      <c r="J10">
        <v>28</v>
      </c>
      <c r="K10">
        <v>24</v>
      </c>
      <c r="L10">
        <v>50000</v>
      </c>
      <c r="M10">
        <v>1785.7142857142858</v>
      </c>
      <c r="N10">
        <v>5000</v>
      </c>
      <c r="O10">
        <v>4000</v>
      </c>
      <c r="P10">
        <v>47857.142857142855</v>
      </c>
      <c r="Q10">
        <v>43857.142857142855</v>
      </c>
    </row>
    <row r="11" spans="1:17" x14ac:dyDescent="0.3">
      <c r="A11" t="s">
        <v>41</v>
      </c>
      <c r="B11" t="s">
        <v>42</v>
      </c>
      <c r="C11" t="s">
        <v>51</v>
      </c>
      <c r="D11" t="s">
        <v>43</v>
      </c>
      <c r="E11">
        <v>19</v>
      </c>
      <c r="F11">
        <v>1</v>
      </c>
      <c r="G11">
        <v>4</v>
      </c>
      <c r="H11">
        <v>4</v>
      </c>
      <c r="I11">
        <v>1</v>
      </c>
      <c r="J11">
        <v>28</v>
      </c>
      <c r="K11">
        <v>24</v>
      </c>
      <c r="L11">
        <v>12000</v>
      </c>
      <c r="M11">
        <v>428.57142857142856</v>
      </c>
      <c r="N11">
        <v>1200</v>
      </c>
      <c r="O11">
        <v>960</v>
      </c>
      <c r="P11">
        <v>11485.714285714286</v>
      </c>
      <c r="Q11">
        <v>10525.714285714286</v>
      </c>
    </row>
    <row r="12" spans="1:17" x14ac:dyDescent="0.3">
      <c r="A12" t="s">
        <v>44</v>
      </c>
      <c r="B12" t="s">
        <v>45</v>
      </c>
      <c r="C12" t="s">
        <v>51</v>
      </c>
      <c r="D12" t="s">
        <v>43</v>
      </c>
      <c r="E12">
        <v>20</v>
      </c>
      <c r="F12">
        <v>0</v>
      </c>
      <c r="G12">
        <v>4</v>
      </c>
      <c r="H12">
        <v>4</v>
      </c>
      <c r="I12">
        <v>1</v>
      </c>
      <c r="J12">
        <v>28</v>
      </c>
      <c r="K12">
        <v>25</v>
      </c>
      <c r="L12">
        <v>12000</v>
      </c>
      <c r="M12">
        <v>428.57142857142856</v>
      </c>
      <c r="N12">
        <v>1200</v>
      </c>
      <c r="O12">
        <v>960</v>
      </c>
      <c r="P12">
        <v>11914.285714285714</v>
      </c>
      <c r="Q12">
        <v>10954.285714285714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AA11F-BB75-416F-9666-C9E8D33E5660}">
  <dimension ref="A1"/>
  <sheetViews>
    <sheetView zoomScale="96" zoomScaleNormal="96" workbookViewId="0">
      <selection activeCell="K77" sqref="K77"/>
    </sheetView>
  </sheetViews>
  <sheetFormatPr defaultRowHeight="14.4" x14ac:dyDescent="0.3"/>
  <cols>
    <col min="1" max="16384" width="8.88671875" style="7"/>
  </cols>
  <sheetData>
    <row r="1" ht="10.199999999999999"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77609-137E-41D5-84CF-5640F4C47964}">
  <dimension ref="A1:R133"/>
  <sheetViews>
    <sheetView tabSelected="1" topLeftCell="A6" workbookViewId="0">
      <selection activeCell="L9" sqref="L9"/>
    </sheetView>
  </sheetViews>
  <sheetFormatPr defaultRowHeight="14.4" x14ac:dyDescent="0.3"/>
  <cols>
    <col min="4" max="4" width="12.77734375" customWidth="1"/>
    <col min="5" max="5" width="10.44140625" customWidth="1"/>
    <col min="6" max="6" width="10" customWidth="1"/>
    <col min="8" max="8" width="9.109375" customWidth="1"/>
    <col min="9" max="9" width="10.5546875" customWidth="1"/>
    <col min="10" max="10" width="19.77734375" customWidth="1"/>
    <col min="11" max="11" width="18.6640625" customWidth="1"/>
    <col min="12" max="12" width="12.6640625" customWidth="1"/>
    <col min="13" max="13" width="14.77734375" customWidth="1"/>
    <col min="16" max="16" width="14.44140625" customWidth="1"/>
    <col min="17" max="17" width="16.6640625" customWidth="1"/>
    <col min="18" max="18" width="10.66406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83</v>
      </c>
    </row>
    <row r="2" spans="1:18" x14ac:dyDescent="0.3">
      <c r="A2" t="s">
        <v>17</v>
      </c>
      <c r="B2" t="s">
        <v>18</v>
      </c>
      <c r="C2" t="s">
        <v>57</v>
      </c>
      <c r="D2" t="s">
        <v>20</v>
      </c>
      <c r="E2">
        <v>22</v>
      </c>
      <c r="F2">
        <v>1</v>
      </c>
      <c r="G2">
        <v>4</v>
      </c>
      <c r="H2">
        <v>4</v>
      </c>
      <c r="I2">
        <v>4</v>
      </c>
      <c r="J2">
        <v>31</v>
      </c>
      <c r="K2">
        <v>30</v>
      </c>
      <c r="L2">
        <v>70000</v>
      </c>
      <c r="M2">
        <v>2258.0645161290322</v>
      </c>
      <c r="N2">
        <v>7000</v>
      </c>
      <c r="O2">
        <v>5600</v>
      </c>
      <c r="P2">
        <v>74741.93548387097</v>
      </c>
      <c r="Q2">
        <v>69141.93548387097</v>
      </c>
    </row>
    <row r="3" spans="1:18" x14ac:dyDescent="0.3">
      <c r="A3" t="s">
        <v>21</v>
      </c>
      <c r="B3" t="s">
        <v>22</v>
      </c>
      <c r="C3" t="s">
        <v>57</v>
      </c>
      <c r="D3" t="s">
        <v>23</v>
      </c>
      <c r="E3">
        <v>22</v>
      </c>
      <c r="F3">
        <v>1</v>
      </c>
      <c r="G3">
        <v>4</v>
      </c>
      <c r="H3">
        <v>4</v>
      </c>
      <c r="I3">
        <v>4</v>
      </c>
      <c r="J3">
        <v>31</v>
      </c>
      <c r="K3">
        <v>30</v>
      </c>
      <c r="L3">
        <v>40000</v>
      </c>
      <c r="M3">
        <v>1290.3225806451612</v>
      </c>
      <c r="N3">
        <v>4000</v>
      </c>
      <c r="O3">
        <v>3200</v>
      </c>
      <c r="P3">
        <v>42709.677419354834</v>
      </c>
      <c r="Q3">
        <v>39509.677419354834</v>
      </c>
    </row>
    <row r="4" spans="1:18" x14ac:dyDescent="0.3">
      <c r="A4" t="s">
        <v>24</v>
      </c>
      <c r="B4" t="s">
        <v>25</v>
      </c>
      <c r="C4" t="s">
        <v>57</v>
      </c>
      <c r="D4" t="s">
        <v>26</v>
      </c>
      <c r="E4">
        <v>22</v>
      </c>
      <c r="F4">
        <v>1</v>
      </c>
      <c r="G4">
        <v>4</v>
      </c>
      <c r="H4">
        <v>4</v>
      </c>
      <c r="I4">
        <v>4</v>
      </c>
      <c r="J4">
        <v>31</v>
      </c>
      <c r="K4">
        <v>30</v>
      </c>
      <c r="L4">
        <v>50000</v>
      </c>
      <c r="M4">
        <v>1612.9032258064517</v>
      </c>
      <c r="N4">
        <v>5000</v>
      </c>
      <c r="O4">
        <v>4000</v>
      </c>
      <c r="P4">
        <v>53387.096774193553</v>
      </c>
      <c r="Q4">
        <v>49387.096774193553</v>
      </c>
    </row>
    <row r="5" spans="1:18" x14ac:dyDescent="0.3">
      <c r="A5" t="s">
        <v>27</v>
      </c>
      <c r="B5" t="s">
        <v>28</v>
      </c>
      <c r="C5" t="s">
        <v>57</v>
      </c>
      <c r="D5" t="s">
        <v>23</v>
      </c>
      <c r="E5">
        <v>22</v>
      </c>
      <c r="F5">
        <v>1</v>
      </c>
      <c r="G5">
        <v>4</v>
      </c>
      <c r="H5">
        <v>4</v>
      </c>
      <c r="I5">
        <v>4</v>
      </c>
      <c r="J5">
        <v>31</v>
      </c>
      <c r="K5">
        <v>30</v>
      </c>
      <c r="L5">
        <v>40000</v>
      </c>
      <c r="M5">
        <v>1290.3225806451612</v>
      </c>
      <c r="N5">
        <v>4000</v>
      </c>
      <c r="O5">
        <v>3200</v>
      </c>
      <c r="P5">
        <v>42709.677419354834</v>
      </c>
      <c r="Q5">
        <v>39509.677419354834</v>
      </c>
    </row>
    <row r="6" spans="1:18" x14ac:dyDescent="0.3">
      <c r="A6" t="s">
        <v>29</v>
      </c>
      <c r="B6" t="s">
        <v>30</v>
      </c>
      <c r="C6" t="s">
        <v>57</v>
      </c>
      <c r="D6" t="s">
        <v>31</v>
      </c>
      <c r="E6">
        <v>22</v>
      </c>
      <c r="F6">
        <v>1</v>
      </c>
      <c r="G6">
        <v>4</v>
      </c>
      <c r="H6">
        <v>4</v>
      </c>
      <c r="I6">
        <v>4</v>
      </c>
      <c r="J6">
        <v>31</v>
      </c>
      <c r="K6">
        <v>30</v>
      </c>
      <c r="L6">
        <v>25000</v>
      </c>
      <c r="M6">
        <v>806.45161290322585</v>
      </c>
      <c r="N6">
        <v>2500</v>
      </c>
      <c r="O6">
        <v>2000</v>
      </c>
      <c r="P6">
        <v>26693.548387096776</v>
      </c>
      <c r="Q6">
        <v>24693.548387096776</v>
      </c>
    </row>
    <row r="7" spans="1:18" x14ac:dyDescent="0.3">
      <c r="A7" t="s">
        <v>32</v>
      </c>
      <c r="B7" t="s">
        <v>33</v>
      </c>
      <c r="C7" t="s">
        <v>57</v>
      </c>
      <c r="D7" t="s">
        <v>31</v>
      </c>
      <c r="E7">
        <v>23</v>
      </c>
      <c r="F7">
        <v>0</v>
      </c>
      <c r="G7">
        <v>4</v>
      </c>
      <c r="H7">
        <v>4</v>
      </c>
      <c r="I7">
        <v>4</v>
      </c>
      <c r="J7">
        <v>31</v>
      </c>
      <c r="K7">
        <v>31</v>
      </c>
      <c r="L7">
        <v>25000</v>
      </c>
      <c r="M7">
        <v>806.45161290322585</v>
      </c>
      <c r="N7">
        <v>2500</v>
      </c>
      <c r="O7">
        <v>2000</v>
      </c>
      <c r="P7">
        <v>27500</v>
      </c>
      <c r="Q7">
        <v>25500</v>
      </c>
    </row>
    <row r="8" spans="1:18" x14ac:dyDescent="0.3">
      <c r="A8" t="s">
        <v>34</v>
      </c>
      <c r="B8" t="s">
        <v>35</v>
      </c>
      <c r="C8" t="s">
        <v>57</v>
      </c>
      <c r="D8" t="s">
        <v>36</v>
      </c>
      <c r="E8">
        <v>22</v>
      </c>
      <c r="F8">
        <v>1</v>
      </c>
      <c r="G8">
        <v>4</v>
      </c>
      <c r="H8">
        <v>4</v>
      </c>
      <c r="I8">
        <v>4</v>
      </c>
      <c r="J8">
        <v>31</v>
      </c>
      <c r="K8">
        <v>30</v>
      </c>
      <c r="L8">
        <v>30000</v>
      </c>
      <c r="M8">
        <v>967.74193548387098</v>
      </c>
      <c r="N8">
        <v>3000</v>
      </c>
      <c r="O8">
        <v>2400</v>
      </c>
      <c r="P8">
        <v>32032.258064516129</v>
      </c>
      <c r="Q8">
        <v>29632.258064516129</v>
      </c>
    </row>
    <row r="9" spans="1:18" x14ac:dyDescent="0.3">
      <c r="A9" t="s">
        <v>37</v>
      </c>
      <c r="B9" t="s">
        <v>38</v>
      </c>
      <c r="C9" t="s">
        <v>57</v>
      </c>
      <c r="D9" t="s">
        <v>20</v>
      </c>
      <c r="E9">
        <v>22</v>
      </c>
      <c r="F9">
        <v>1</v>
      </c>
      <c r="G9">
        <v>4</v>
      </c>
      <c r="H9">
        <v>4</v>
      </c>
      <c r="I9">
        <v>4</v>
      </c>
      <c r="J9">
        <v>31</v>
      </c>
      <c r="K9">
        <v>30</v>
      </c>
      <c r="L9">
        <v>70000</v>
      </c>
      <c r="M9">
        <v>2258.0645161290322</v>
      </c>
      <c r="N9">
        <v>7000</v>
      </c>
      <c r="O9">
        <v>5600</v>
      </c>
      <c r="P9">
        <v>74741.93548387097</v>
      </c>
      <c r="Q9">
        <v>69141.93548387097</v>
      </c>
    </row>
    <row r="10" spans="1:18" x14ac:dyDescent="0.3">
      <c r="A10" t="s">
        <v>39</v>
      </c>
      <c r="B10" t="s">
        <v>40</v>
      </c>
      <c r="C10" t="s">
        <v>57</v>
      </c>
      <c r="D10" t="s">
        <v>26</v>
      </c>
      <c r="E10">
        <v>21</v>
      </c>
      <c r="F10">
        <v>2</v>
      </c>
      <c r="G10">
        <v>4</v>
      </c>
      <c r="H10">
        <v>4</v>
      </c>
      <c r="I10">
        <v>4</v>
      </c>
      <c r="J10">
        <v>31</v>
      </c>
      <c r="K10">
        <v>29</v>
      </c>
      <c r="L10">
        <v>50000</v>
      </c>
      <c r="M10">
        <v>1612.9032258064517</v>
      </c>
      <c r="N10">
        <v>5000</v>
      </c>
      <c r="O10">
        <v>4000</v>
      </c>
      <c r="P10">
        <v>51774.193548387098</v>
      </c>
      <c r="Q10">
        <v>47774.193548387098</v>
      </c>
    </row>
    <row r="11" spans="1:18" x14ac:dyDescent="0.3">
      <c r="A11" t="s">
        <v>41</v>
      </c>
      <c r="B11" t="s">
        <v>42</v>
      </c>
      <c r="C11" t="s">
        <v>57</v>
      </c>
      <c r="D11" t="s">
        <v>43</v>
      </c>
      <c r="E11">
        <v>23</v>
      </c>
      <c r="F11">
        <v>0</v>
      </c>
      <c r="G11">
        <v>4</v>
      </c>
      <c r="H11">
        <v>4</v>
      </c>
      <c r="I11">
        <v>4</v>
      </c>
      <c r="J11">
        <v>31</v>
      </c>
      <c r="K11">
        <v>31</v>
      </c>
      <c r="L11">
        <v>12000</v>
      </c>
      <c r="M11">
        <v>387.09677419354841</v>
      </c>
      <c r="N11">
        <v>1200</v>
      </c>
      <c r="O11">
        <v>960</v>
      </c>
      <c r="P11">
        <v>13200</v>
      </c>
      <c r="Q11">
        <v>12240</v>
      </c>
    </row>
    <row r="12" spans="1:18" x14ac:dyDescent="0.3">
      <c r="A12" t="s">
        <v>44</v>
      </c>
      <c r="B12" t="s">
        <v>45</v>
      </c>
      <c r="C12" t="s">
        <v>57</v>
      </c>
      <c r="D12" t="s">
        <v>43</v>
      </c>
      <c r="E12">
        <v>22</v>
      </c>
      <c r="F12">
        <v>1</v>
      </c>
      <c r="G12">
        <v>4</v>
      </c>
      <c r="H12">
        <v>4</v>
      </c>
      <c r="I12">
        <v>4</v>
      </c>
      <c r="J12">
        <v>31</v>
      </c>
      <c r="K12">
        <v>30</v>
      </c>
      <c r="L12">
        <v>12000</v>
      </c>
      <c r="M12">
        <v>387.09677419354841</v>
      </c>
      <c r="N12">
        <v>1200</v>
      </c>
      <c r="O12">
        <v>960</v>
      </c>
      <c r="P12">
        <v>12812.903225806453</v>
      </c>
      <c r="Q12">
        <v>11852.903225806453</v>
      </c>
    </row>
    <row r="13" spans="1:18" x14ac:dyDescent="0.3">
      <c r="A13" t="s">
        <v>17</v>
      </c>
      <c r="B13" t="s">
        <v>18</v>
      </c>
      <c r="C13" t="s">
        <v>51</v>
      </c>
      <c r="D13" t="s">
        <v>20</v>
      </c>
      <c r="E13">
        <v>19</v>
      </c>
      <c r="F13">
        <v>1</v>
      </c>
      <c r="G13">
        <v>4</v>
      </c>
      <c r="H13">
        <v>4</v>
      </c>
      <c r="I13">
        <v>4</v>
      </c>
      <c r="J13">
        <v>28</v>
      </c>
      <c r="K13">
        <v>27</v>
      </c>
      <c r="L13">
        <v>70000</v>
      </c>
      <c r="M13">
        <v>2500</v>
      </c>
      <c r="N13">
        <v>7000</v>
      </c>
      <c r="O13">
        <v>5600</v>
      </c>
      <c r="P13">
        <v>74500</v>
      </c>
      <c r="Q13">
        <v>68900</v>
      </c>
    </row>
    <row r="14" spans="1:18" x14ac:dyDescent="0.3">
      <c r="A14" t="s">
        <v>21</v>
      </c>
      <c r="B14" t="s">
        <v>22</v>
      </c>
      <c r="C14" t="s">
        <v>51</v>
      </c>
      <c r="D14" t="s">
        <v>23</v>
      </c>
      <c r="E14">
        <v>20</v>
      </c>
      <c r="F14">
        <v>0</v>
      </c>
      <c r="G14">
        <v>4</v>
      </c>
      <c r="H14">
        <v>4</v>
      </c>
      <c r="I14">
        <v>4</v>
      </c>
      <c r="J14">
        <v>28</v>
      </c>
      <c r="K14">
        <v>28</v>
      </c>
      <c r="L14">
        <v>40000</v>
      </c>
      <c r="M14">
        <v>1428.5714285714287</v>
      </c>
      <c r="N14">
        <v>4000</v>
      </c>
      <c r="O14">
        <v>3200</v>
      </c>
      <c r="P14">
        <v>44000</v>
      </c>
      <c r="Q14">
        <v>40800</v>
      </c>
    </row>
    <row r="15" spans="1:18" x14ac:dyDescent="0.3">
      <c r="A15" t="s">
        <v>24</v>
      </c>
      <c r="B15" t="s">
        <v>25</v>
      </c>
      <c r="C15" t="s">
        <v>51</v>
      </c>
      <c r="D15" t="s">
        <v>26</v>
      </c>
      <c r="E15">
        <v>19</v>
      </c>
      <c r="F15">
        <v>1</v>
      </c>
      <c r="G15">
        <v>4</v>
      </c>
      <c r="H15">
        <v>4</v>
      </c>
      <c r="I15">
        <v>4</v>
      </c>
      <c r="J15">
        <v>28</v>
      </c>
      <c r="K15">
        <v>27</v>
      </c>
      <c r="L15">
        <v>50000</v>
      </c>
      <c r="M15">
        <v>1785.7142857142858</v>
      </c>
      <c r="N15">
        <v>5000</v>
      </c>
      <c r="O15">
        <v>4000</v>
      </c>
      <c r="P15">
        <v>53214.285714285717</v>
      </c>
      <c r="Q15">
        <v>49214.285714285717</v>
      </c>
    </row>
    <row r="16" spans="1:18" x14ac:dyDescent="0.3">
      <c r="A16" t="s">
        <v>27</v>
      </c>
      <c r="B16" t="s">
        <v>28</v>
      </c>
      <c r="C16" t="s">
        <v>51</v>
      </c>
      <c r="D16" t="s">
        <v>23</v>
      </c>
      <c r="E16">
        <v>19</v>
      </c>
      <c r="F16">
        <v>1</v>
      </c>
      <c r="G16">
        <v>4</v>
      </c>
      <c r="H16">
        <v>4</v>
      </c>
      <c r="I16">
        <v>4</v>
      </c>
      <c r="J16">
        <v>28</v>
      </c>
      <c r="K16">
        <v>27</v>
      </c>
      <c r="L16">
        <v>40000</v>
      </c>
      <c r="M16">
        <v>1428.5714285714287</v>
      </c>
      <c r="N16">
        <v>4000</v>
      </c>
      <c r="O16">
        <v>3200</v>
      </c>
      <c r="P16">
        <v>42571.428571428572</v>
      </c>
      <c r="Q16">
        <v>39371.428571428572</v>
      </c>
    </row>
    <row r="17" spans="1:17" x14ac:dyDescent="0.3">
      <c r="A17" t="s">
        <v>29</v>
      </c>
      <c r="B17" t="s">
        <v>30</v>
      </c>
      <c r="C17" t="s">
        <v>51</v>
      </c>
      <c r="D17" t="s">
        <v>31</v>
      </c>
      <c r="E17">
        <v>19</v>
      </c>
      <c r="F17">
        <v>1</v>
      </c>
      <c r="G17">
        <v>4</v>
      </c>
      <c r="H17">
        <v>4</v>
      </c>
      <c r="I17">
        <v>4</v>
      </c>
      <c r="J17">
        <v>28</v>
      </c>
      <c r="K17">
        <v>27</v>
      </c>
      <c r="L17">
        <v>25000</v>
      </c>
      <c r="M17">
        <v>892.85714285714289</v>
      </c>
      <c r="N17">
        <v>2500</v>
      </c>
      <c r="O17">
        <v>2000</v>
      </c>
      <c r="P17">
        <v>26607.142857142859</v>
      </c>
      <c r="Q17">
        <v>24607.142857142859</v>
      </c>
    </row>
    <row r="18" spans="1:17" x14ac:dyDescent="0.3">
      <c r="A18" t="s">
        <v>32</v>
      </c>
      <c r="B18" t="s">
        <v>33</v>
      </c>
      <c r="C18" t="s">
        <v>51</v>
      </c>
      <c r="D18" t="s">
        <v>31</v>
      </c>
      <c r="E18">
        <v>18</v>
      </c>
      <c r="F18">
        <v>2</v>
      </c>
      <c r="G18">
        <v>4</v>
      </c>
      <c r="H18">
        <v>4</v>
      </c>
      <c r="I18">
        <v>4</v>
      </c>
      <c r="J18">
        <v>28</v>
      </c>
      <c r="K18">
        <v>26</v>
      </c>
      <c r="L18">
        <v>25000</v>
      </c>
      <c r="M18">
        <v>892.85714285714289</v>
      </c>
      <c r="N18">
        <v>2500</v>
      </c>
      <c r="O18">
        <v>2000</v>
      </c>
      <c r="P18">
        <v>25714.285714285714</v>
      </c>
      <c r="Q18">
        <v>23714.285714285714</v>
      </c>
    </row>
    <row r="19" spans="1:17" x14ac:dyDescent="0.3">
      <c r="A19" t="s">
        <v>34</v>
      </c>
      <c r="B19" t="s">
        <v>35</v>
      </c>
      <c r="C19" t="s">
        <v>51</v>
      </c>
      <c r="D19" t="s">
        <v>36</v>
      </c>
      <c r="E19">
        <v>20</v>
      </c>
      <c r="F19">
        <v>0</v>
      </c>
      <c r="G19">
        <v>4</v>
      </c>
      <c r="H19">
        <v>4</v>
      </c>
      <c r="I19">
        <v>4</v>
      </c>
      <c r="J19">
        <v>28</v>
      </c>
      <c r="K19">
        <v>28</v>
      </c>
      <c r="L19">
        <v>30000</v>
      </c>
      <c r="M19">
        <v>1071.4285714285713</v>
      </c>
      <c r="N19">
        <v>3000</v>
      </c>
      <c r="O19">
        <v>2400</v>
      </c>
      <c r="P19">
        <v>33000</v>
      </c>
      <c r="Q19">
        <v>30600</v>
      </c>
    </row>
    <row r="20" spans="1:17" x14ac:dyDescent="0.3">
      <c r="A20" t="s">
        <v>37</v>
      </c>
      <c r="B20" t="s">
        <v>38</v>
      </c>
      <c r="C20" t="s">
        <v>51</v>
      </c>
      <c r="D20" t="s">
        <v>20</v>
      </c>
      <c r="E20">
        <v>19</v>
      </c>
      <c r="F20">
        <v>1</v>
      </c>
      <c r="G20">
        <v>4</v>
      </c>
      <c r="H20">
        <v>4</v>
      </c>
      <c r="I20">
        <v>4</v>
      </c>
      <c r="J20">
        <v>28</v>
      </c>
      <c r="K20">
        <v>27</v>
      </c>
      <c r="L20">
        <v>70000</v>
      </c>
      <c r="M20">
        <v>2500</v>
      </c>
      <c r="N20">
        <v>7000</v>
      </c>
      <c r="O20">
        <v>5600</v>
      </c>
      <c r="P20">
        <v>74500</v>
      </c>
      <c r="Q20">
        <v>68900</v>
      </c>
    </row>
    <row r="21" spans="1:17" x14ac:dyDescent="0.3">
      <c r="A21" t="s">
        <v>39</v>
      </c>
      <c r="B21" t="s">
        <v>40</v>
      </c>
      <c r="C21" t="s">
        <v>51</v>
      </c>
      <c r="D21" t="s">
        <v>26</v>
      </c>
      <c r="E21">
        <v>19</v>
      </c>
      <c r="F21">
        <v>1</v>
      </c>
      <c r="G21">
        <v>4</v>
      </c>
      <c r="H21">
        <v>4</v>
      </c>
      <c r="I21">
        <v>4</v>
      </c>
      <c r="J21">
        <v>28</v>
      </c>
      <c r="K21">
        <v>27</v>
      </c>
      <c r="L21">
        <v>50000</v>
      </c>
      <c r="M21">
        <v>1785.7142857142858</v>
      </c>
      <c r="N21">
        <v>5000</v>
      </c>
      <c r="O21">
        <v>4000</v>
      </c>
      <c r="P21">
        <v>53214.285714285717</v>
      </c>
      <c r="Q21">
        <v>49214.285714285717</v>
      </c>
    </row>
    <row r="22" spans="1:17" x14ac:dyDescent="0.3">
      <c r="A22" t="s">
        <v>41</v>
      </c>
      <c r="B22" t="s">
        <v>42</v>
      </c>
      <c r="C22" t="s">
        <v>51</v>
      </c>
      <c r="D22" t="s">
        <v>43</v>
      </c>
      <c r="E22">
        <v>19</v>
      </c>
      <c r="F22">
        <v>1</v>
      </c>
      <c r="G22">
        <v>4</v>
      </c>
      <c r="H22">
        <v>4</v>
      </c>
      <c r="I22">
        <v>4</v>
      </c>
      <c r="J22">
        <v>28</v>
      </c>
      <c r="K22">
        <v>27</v>
      </c>
      <c r="L22">
        <v>12000</v>
      </c>
      <c r="M22">
        <v>428.57142857142856</v>
      </c>
      <c r="N22">
        <v>1200</v>
      </c>
      <c r="O22">
        <v>960</v>
      </c>
      <c r="P22">
        <v>12771.428571428571</v>
      </c>
      <c r="Q22">
        <v>11811.428571428571</v>
      </c>
    </row>
    <row r="23" spans="1:17" x14ac:dyDescent="0.3">
      <c r="A23" t="s">
        <v>44</v>
      </c>
      <c r="B23" t="s">
        <v>45</v>
      </c>
      <c r="C23" t="s">
        <v>51</v>
      </c>
      <c r="D23" t="s">
        <v>43</v>
      </c>
      <c r="E23">
        <v>20</v>
      </c>
      <c r="F23">
        <v>0</v>
      </c>
      <c r="G23">
        <v>4</v>
      </c>
      <c r="H23">
        <v>4</v>
      </c>
      <c r="I23">
        <v>4</v>
      </c>
      <c r="J23">
        <v>28</v>
      </c>
      <c r="K23">
        <v>28</v>
      </c>
      <c r="L23">
        <v>12000</v>
      </c>
      <c r="M23">
        <v>428.57142857142856</v>
      </c>
      <c r="N23">
        <v>1200</v>
      </c>
      <c r="O23">
        <v>960</v>
      </c>
      <c r="P23">
        <v>13200</v>
      </c>
      <c r="Q23">
        <v>12240</v>
      </c>
    </row>
    <row r="24" spans="1:17" x14ac:dyDescent="0.3">
      <c r="A24" t="s">
        <v>17</v>
      </c>
      <c r="B24" t="s">
        <v>18</v>
      </c>
      <c r="C24" t="s">
        <v>52</v>
      </c>
      <c r="D24" t="s">
        <v>20</v>
      </c>
      <c r="E24">
        <v>21</v>
      </c>
      <c r="F24">
        <v>1</v>
      </c>
      <c r="G24">
        <v>4</v>
      </c>
      <c r="H24">
        <v>4</v>
      </c>
      <c r="I24">
        <v>5</v>
      </c>
      <c r="J24">
        <v>31</v>
      </c>
      <c r="K24">
        <v>30</v>
      </c>
      <c r="L24">
        <v>70000</v>
      </c>
      <c r="M24">
        <v>2258.0645161290322</v>
      </c>
      <c r="N24">
        <v>7000</v>
      </c>
      <c r="O24">
        <v>5600</v>
      </c>
      <c r="P24">
        <v>74741.93548387097</v>
      </c>
      <c r="Q24">
        <v>69141.93548387097</v>
      </c>
    </row>
    <row r="25" spans="1:17" x14ac:dyDescent="0.3">
      <c r="A25" t="s">
        <v>21</v>
      </c>
      <c r="B25" t="s">
        <v>22</v>
      </c>
      <c r="C25" t="s">
        <v>52</v>
      </c>
      <c r="D25" t="s">
        <v>23</v>
      </c>
      <c r="E25">
        <v>21</v>
      </c>
      <c r="F25">
        <v>1</v>
      </c>
      <c r="G25">
        <v>4</v>
      </c>
      <c r="H25">
        <v>4</v>
      </c>
      <c r="I25">
        <v>5</v>
      </c>
      <c r="J25">
        <v>31</v>
      </c>
      <c r="K25">
        <v>30</v>
      </c>
      <c r="L25">
        <v>40000</v>
      </c>
      <c r="M25">
        <v>1290.3225806451612</v>
      </c>
      <c r="N25">
        <v>4000</v>
      </c>
      <c r="O25">
        <v>3200</v>
      </c>
      <c r="P25">
        <v>42709.677419354834</v>
      </c>
      <c r="Q25">
        <v>39509.677419354834</v>
      </c>
    </row>
    <row r="26" spans="1:17" x14ac:dyDescent="0.3">
      <c r="A26" t="s">
        <v>24</v>
      </c>
      <c r="B26" t="s">
        <v>25</v>
      </c>
      <c r="C26" t="s">
        <v>52</v>
      </c>
      <c r="D26" t="s">
        <v>26</v>
      </c>
      <c r="E26">
        <v>21</v>
      </c>
      <c r="F26">
        <v>1</v>
      </c>
      <c r="G26">
        <v>4</v>
      </c>
      <c r="H26">
        <v>4</v>
      </c>
      <c r="I26">
        <v>5</v>
      </c>
      <c r="J26">
        <v>31</v>
      </c>
      <c r="K26">
        <v>30</v>
      </c>
      <c r="L26">
        <v>50000</v>
      </c>
      <c r="M26">
        <v>1612.9032258064517</v>
      </c>
      <c r="N26">
        <v>5000</v>
      </c>
      <c r="O26">
        <v>4000</v>
      </c>
      <c r="P26">
        <v>53387.096774193553</v>
      </c>
      <c r="Q26">
        <v>49387.096774193553</v>
      </c>
    </row>
    <row r="27" spans="1:17" x14ac:dyDescent="0.3">
      <c r="A27" t="s">
        <v>27</v>
      </c>
      <c r="B27" t="s">
        <v>28</v>
      </c>
      <c r="C27" t="s">
        <v>52</v>
      </c>
      <c r="D27" t="s">
        <v>23</v>
      </c>
      <c r="E27">
        <v>22</v>
      </c>
      <c r="F27">
        <v>0</v>
      </c>
      <c r="G27">
        <v>4</v>
      </c>
      <c r="H27">
        <v>4</v>
      </c>
      <c r="I27">
        <v>5</v>
      </c>
      <c r="J27">
        <v>31</v>
      </c>
      <c r="K27">
        <v>31</v>
      </c>
      <c r="L27">
        <v>40000</v>
      </c>
      <c r="M27">
        <v>1290.3225806451612</v>
      </c>
      <c r="N27">
        <v>4000</v>
      </c>
      <c r="O27">
        <v>3200</v>
      </c>
      <c r="P27">
        <v>44000</v>
      </c>
      <c r="Q27">
        <v>40800</v>
      </c>
    </row>
    <row r="28" spans="1:17" x14ac:dyDescent="0.3">
      <c r="A28" t="s">
        <v>29</v>
      </c>
      <c r="B28" t="s">
        <v>30</v>
      </c>
      <c r="C28" t="s">
        <v>52</v>
      </c>
      <c r="D28" t="s">
        <v>31</v>
      </c>
      <c r="E28">
        <v>20</v>
      </c>
      <c r="F28">
        <v>2</v>
      </c>
      <c r="G28">
        <v>4</v>
      </c>
      <c r="H28">
        <v>4</v>
      </c>
      <c r="I28">
        <v>5</v>
      </c>
      <c r="J28">
        <v>31</v>
      </c>
      <c r="K28">
        <v>29</v>
      </c>
      <c r="L28">
        <v>25000</v>
      </c>
      <c r="M28">
        <v>806.45161290322585</v>
      </c>
      <c r="N28">
        <v>2500</v>
      </c>
      <c r="O28">
        <v>2000</v>
      </c>
      <c r="P28">
        <v>25887.096774193549</v>
      </c>
      <c r="Q28">
        <v>23887.096774193549</v>
      </c>
    </row>
    <row r="29" spans="1:17" x14ac:dyDescent="0.3">
      <c r="A29" t="s">
        <v>32</v>
      </c>
      <c r="B29" t="s">
        <v>33</v>
      </c>
      <c r="C29" t="s">
        <v>52</v>
      </c>
      <c r="D29" t="s">
        <v>31</v>
      </c>
      <c r="E29">
        <v>22</v>
      </c>
      <c r="F29">
        <v>0</v>
      </c>
      <c r="G29">
        <v>4</v>
      </c>
      <c r="H29">
        <v>4</v>
      </c>
      <c r="I29">
        <v>5</v>
      </c>
      <c r="J29">
        <v>31</v>
      </c>
      <c r="K29">
        <v>31</v>
      </c>
      <c r="L29">
        <v>25000</v>
      </c>
      <c r="M29">
        <v>806.45161290322585</v>
      </c>
      <c r="N29">
        <v>2500</v>
      </c>
      <c r="O29">
        <v>2000</v>
      </c>
      <c r="P29">
        <v>27500</v>
      </c>
      <c r="Q29">
        <v>25500</v>
      </c>
    </row>
    <row r="30" spans="1:17" x14ac:dyDescent="0.3">
      <c r="A30" t="s">
        <v>34</v>
      </c>
      <c r="B30" t="s">
        <v>35</v>
      </c>
      <c r="C30" t="s">
        <v>52</v>
      </c>
      <c r="D30" t="s">
        <v>36</v>
      </c>
      <c r="E30">
        <v>22</v>
      </c>
      <c r="F30">
        <v>0</v>
      </c>
      <c r="G30">
        <v>4</v>
      </c>
      <c r="H30">
        <v>4</v>
      </c>
      <c r="I30">
        <v>5</v>
      </c>
      <c r="J30">
        <v>31</v>
      </c>
      <c r="K30">
        <v>31</v>
      </c>
      <c r="L30">
        <v>30000</v>
      </c>
      <c r="M30">
        <v>967.74193548387098</v>
      </c>
      <c r="N30">
        <v>3000</v>
      </c>
      <c r="O30">
        <v>2400</v>
      </c>
      <c r="P30">
        <v>33000</v>
      </c>
      <c r="Q30">
        <v>30600</v>
      </c>
    </row>
    <row r="31" spans="1:17" x14ac:dyDescent="0.3">
      <c r="A31" t="s">
        <v>37</v>
      </c>
      <c r="B31" t="s">
        <v>38</v>
      </c>
      <c r="C31" t="s">
        <v>52</v>
      </c>
      <c r="D31" t="s">
        <v>20</v>
      </c>
      <c r="E31">
        <v>21</v>
      </c>
      <c r="F31">
        <v>1</v>
      </c>
      <c r="G31">
        <v>4</v>
      </c>
      <c r="H31">
        <v>4</v>
      </c>
      <c r="I31">
        <v>5</v>
      </c>
      <c r="J31">
        <v>31</v>
      </c>
      <c r="K31">
        <v>30</v>
      </c>
      <c r="L31">
        <v>70000</v>
      </c>
      <c r="M31">
        <v>2258.0645161290322</v>
      </c>
      <c r="N31">
        <v>7000</v>
      </c>
      <c r="O31">
        <v>5600</v>
      </c>
      <c r="P31">
        <v>74741.93548387097</v>
      </c>
      <c r="Q31">
        <v>69141.93548387097</v>
      </c>
    </row>
    <row r="32" spans="1:17" x14ac:dyDescent="0.3">
      <c r="A32" t="s">
        <v>39</v>
      </c>
      <c r="B32" t="s">
        <v>40</v>
      </c>
      <c r="C32" t="s">
        <v>52</v>
      </c>
      <c r="D32" t="s">
        <v>26</v>
      </c>
      <c r="E32">
        <v>21</v>
      </c>
      <c r="F32">
        <v>1</v>
      </c>
      <c r="G32">
        <v>4</v>
      </c>
      <c r="H32">
        <v>4</v>
      </c>
      <c r="I32">
        <v>5</v>
      </c>
      <c r="J32">
        <v>31</v>
      </c>
      <c r="K32">
        <v>30</v>
      </c>
      <c r="L32">
        <v>50000</v>
      </c>
      <c r="M32">
        <v>1612.9032258064517</v>
      </c>
      <c r="N32">
        <v>5000</v>
      </c>
      <c r="O32">
        <v>4000</v>
      </c>
      <c r="P32">
        <v>53387.096774193553</v>
      </c>
      <c r="Q32">
        <v>49387.096774193553</v>
      </c>
    </row>
    <row r="33" spans="1:17" x14ac:dyDescent="0.3">
      <c r="A33" t="s">
        <v>41</v>
      </c>
      <c r="B33" t="s">
        <v>42</v>
      </c>
      <c r="C33" t="s">
        <v>52</v>
      </c>
      <c r="D33" t="s">
        <v>43</v>
      </c>
      <c r="E33">
        <v>22</v>
      </c>
      <c r="F33">
        <v>0</v>
      </c>
      <c r="G33">
        <v>4</v>
      </c>
      <c r="H33">
        <v>4</v>
      </c>
      <c r="I33">
        <v>5</v>
      </c>
      <c r="J33">
        <v>31</v>
      </c>
      <c r="K33">
        <v>31</v>
      </c>
      <c r="L33">
        <v>12000</v>
      </c>
      <c r="M33">
        <v>387.09677419354841</v>
      </c>
      <c r="N33">
        <v>1200</v>
      </c>
      <c r="O33">
        <v>960</v>
      </c>
      <c r="P33">
        <v>13200</v>
      </c>
      <c r="Q33">
        <v>12240</v>
      </c>
    </row>
    <row r="34" spans="1:17" x14ac:dyDescent="0.3">
      <c r="A34" t="s">
        <v>44</v>
      </c>
      <c r="B34" t="s">
        <v>45</v>
      </c>
      <c r="C34" t="s">
        <v>52</v>
      </c>
      <c r="D34" t="s">
        <v>43</v>
      </c>
      <c r="E34">
        <v>21</v>
      </c>
      <c r="F34">
        <v>1</v>
      </c>
      <c r="G34">
        <v>4</v>
      </c>
      <c r="H34">
        <v>4</v>
      </c>
      <c r="I34">
        <v>5</v>
      </c>
      <c r="J34">
        <v>31</v>
      </c>
      <c r="K34">
        <v>30</v>
      </c>
      <c r="L34">
        <v>12000</v>
      </c>
      <c r="M34">
        <v>387.09677419354841</v>
      </c>
      <c r="N34">
        <v>1200</v>
      </c>
      <c r="O34">
        <v>960</v>
      </c>
      <c r="P34">
        <v>12812.903225806453</v>
      </c>
      <c r="Q34">
        <v>11852.903225806453</v>
      </c>
    </row>
    <row r="35" spans="1:17" x14ac:dyDescent="0.3">
      <c r="A35" t="s">
        <v>17</v>
      </c>
      <c r="B35" t="s">
        <v>18</v>
      </c>
      <c r="C35" t="s">
        <v>54</v>
      </c>
      <c r="D35" t="s">
        <v>20</v>
      </c>
      <c r="E35">
        <v>24</v>
      </c>
      <c r="F35">
        <v>1</v>
      </c>
      <c r="G35">
        <v>1</v>
      </c>
      <c r="H35">
        <v>1</v>
      </c>
      <c r="I35">
        <v>4</v>
      </c>
      <c r="J35">
        <v>30</v>
      </c>
      <c r="K35">
        <v>29</v>
      </c>
      <c r="L35">
        <v>70000</v>
      </c>
      <c r="M35">
        <v>2333.3333333333335</v>
      </c>
      <c r="N35">
        <v>7000</v>
      </c>
      <c r="O35">
        <v>5600</v>
      </c>
      <c r="P35">
        <v>74666.666666666672</v>
      </c>
      <c r="Q35">
        <v>69066.666666666672</v>
      </c>
    </row>
    <row r="36" spans="1:17" x14ac:dyDescent="0.3">
      <c r="A36" t="s">
        <v>21</v>
      </c>
      <c r="B36" t="s">
        <v>22</v>
      </c>
      <c r="C36" t="s">
        <v>54</v>
      </c>
      <c r="D36" t="s">
        <v>23</v>
      </c>
      <c r="E36">
        <v>25</v>
      </c>
      <c r="F36">
        <v>0</v>
      </c>
      <c r="G36">
        <v>1</v>
      </c>
      <c r="H36">
        <v>1</v>
      </c>
      <c r="I36">
        <v>4</v>
      </c>
      <c r="J36">
        <v>30</v>
      </c>
      <c r="K36">
        <v>30</v>
      </c>
      <c r="L36">
        <v>40000</v>
      </c>
      <c r="M36">
        <v>1333.3333333333333</v>
      </c>
      <c r="N36">
        <v>4000</v>
      </c>
      <c r="O36">
        <v>3200</v>
      </c>
      <c r="P36">
        <v>44000</v>
      </c>
      <c r="Q36">
        <v>40800</v>
      </c>
    </row>
    <row r="37" spans="1:17" x14ac:dyDescent="0.3">
      <c r="A37" t="s">
        <v>24</v>
      </c>
      <c r="B37" t="s">
        <v>25</v>
      </c>
      <c r="C37" t="s">
        <v>54</v>
      </c>
      <c r="D37" t="s">
        <v>26</v>
      </c>
      <c r="E37">
        <v>24</v>
      </c>
      <c r="F37">
        <v>1</v>
      </c>
      <c r="G37">
        <v>1</v>
      </c>
      <c r="H37">
        <v>1</v>
      </c>
      <c r="I37">
        <v>4</v>
      </c>
      <c r="J37">
        <v>30</v>
      </c>
      <c r="K37">
        <v>29</v>
      </c>
      <c r="L37">
        <v>50000</v>
      </c>
      <c r="M37">
        <v>1666.6666666666667</v>
      </c>
      <c r="N37">
        <v>5000</v>
      </c>
      <c r="O37">
        <v>4000</v>
      </c>
      <c r="P37">
        <v>53333.333333333336</v>
      </c>
      <c r="Q37">
        <v>49333.333333333336</v>
      </c>
    </row>
    <row r="38" spans="1:17" x14ac:dyDescent="0.3">
      <c r="A38" t="s">
        <v>27</v>
      </c>
      <c r="B38" t="s">
        <v>28</v>
      </c>
      <c r="C38" t="s">
        <v>54</v>
      </c>
      <c r="D38" t="s">
        <v>23</v>
      </c>
      <c r="E38">
        <v>25</v>
      </c>
      <c r="F38">
        <v>0</v>
      </c>
      <c r="G38">
        <v>1</v>
      </c>
      <c r="H38">
        <v>1</v>
      </c>
      <c r="I38">
        <v>4</v>
      </c>
      <c r="J38">
        <v>30</v>
      </c>
      <c r="K38">
        <v>30</v>
      </c>
      <c r="L38">
        <v>40000</v>
      </c>
      <c r="M38">
        <v>1333.3333333333333</v>
      </c>
      <c r="N38">
        <v>4000</v>
      </c>
      <c r="O38">
        <v>3200</v>
      </c>
      <c r="P38">
        <v>44000</v>
      </c>
      <c r="Q38">
        <v>40800</v>
      </c>
    </row>
    <row r="39" spans="1:17" x14ac:dyDescent="0.3">
      <c r="A39" t="s">
        <v>29</v>
      </c>
      <c r="B39" t="s">
        <v>30</v>
      </c>
      <c r="C39" t="s">
        <v>54</v>
      </c>
      <c r="D39" t="s">
        <v>31</v>
      </c>
      <c r="E39">
        <v>24</v>
      </c>
      <c r="F39">
        <v>1</v>
      </c>
      <c r="G39">
        <v>1</v>
      </c>
      <c r="H39">
        <v>1</v>
      </c>
      <c r="I39">
        <v>4</v>
      </c>
      <c r="J39">
        <v>30</v>
      </c>
      <c r="K39">
        <v>29</v>
      </c>
      <c r="L39">
        <v>25000</v>
      </c>
      <c r="M39">
        <v>833.33333333333337</v>
      </c>
      <c r="N39">
        <v>2500</v>
      </c>
      <c r="O39">
        <v>2000</v>
      </c>
      <c r="P39">
        <v>26666.666666666668</v>
      </c>
      <c r="Q39">
        <v>24666.666666666668</v>
      </c>
    </row>
    <row r="40" spans="1:17" x14ac:dyDescent="0.3">
      <c r="A40" t="s">
        <v>32</v>
      </c>
      <c r="B40" t="s">
        <v>33</v>
      </c>
      <c r="C40" t="s">
        <v>54</v>
      </c>
      <c r="D40" t="s">
        <v>31</v>
      </c>
      <c r="E40">
        <v>25</v>
      </c>
      <c r="F40">
        <v>0</v>
      </c>
      <c r="G40">
        <v>1</v>
      </c>
      <c r="H40">
        <v>1</v>
      </c>
      <c r="I40">
        <v>4</v>
      </c>
      <c r="J40">
        <v>30</v>
      </c>
      <c r="K40">
        <v>30</v>
      </c>
      <c r="L40">
        <v>25000</v>
      </c>
      <c r="M40">
        <v>833.33333333333337</v>
      </c>
      <c r="N40">
        <v>2500</v>
      </c>
      <c r="O40">
        <v>2000</v>
      </c>
      <c r="P40">
        <v>27500</v>
      </c>
      <c r="Q40">
        <v>25500</v>
      </c>
    </row>
    <row r="41" spans="1:17" x14ac:dyDescent="0.3">
      <c r="A41" t="s">
        <v>34</v>
      </c>
      <c r="B41" t="s">
        <v>35</v>
      </c>
      <c r="C41" t="s">
        <v>54</v>
      </c>
      <c r="D41" t="s">
        <v>36</v>
      </c>
      <c r="E41">
        <v>23</v>
      </c>
      <c r="F41">
        <v>2</v>
      </c>
      <c r="G41">
        <v>1</v>
      </c>
      <c r="H41">
        <v>1</v>
      </c>
      <c r="I41">
        <v>4</v>
      </c>
      <c r="J41">
        <v>30</v>
      </c>
      <c r="K41">
        <v>28</v>
      </c>
      <c r="L41">
        <v>30000</v>
      </c>
      <c r="M41">
        <v>1000</v>
      </c>
      <c r="N41">
        <v>3000</v>
      </c>
      <c r="O41">
        <v>2400</v>
      </c>
      <c r="P41">
        <v>31000</v>
      </c>
      <c r="Q41">
        <v>28600</v>
      </c>
    </row>
    <row r="42" spans="1:17" x14ac:dyDescent="0.3">
      <c r="A42" t="s">
        <v>37</v>
      </c>
      <c r="B42" t="s">
        <v>38</v>
      </c>
      <c r="C42" t="s">
        <v>54</v>
      </c>
      <c r="D42" t="s">
        <v>20</v>
      </c>
      <c r="E42">
        <v>25</v>
      </c>
      <c r="F42">
        <v>0</v>
      </c>
      <c r="G42">
        <v>1</v>
      </c>
      <c r="H42">
        <v>1</v>
      </c>
      <c r="I42">
        <v>4</v>
      </c>
      <c r="J42">
        <v>30</v>
      </c>
      <c r="K42">
        <v>30</v>
      </c>
      <c r="L42">
        <v>70000</v>
      </c>
      <c r="M42">
        <v>2333.3333333333335</v>
      </c>
      <c r="N42">
        <v>7000</v>
      </c>
      <c r="O42">
        <v>5600</v>
      </c>
      <c r="P42">
        <v>77000</v>
      </c>
      <c r="Q42">
        <v>71400</v>
      </c>
    </row>
    <row r="43" spans="1:17" x14ac:dyDescent="0.3">
      <c r="A43" t="s">
        <v>39</v>
      </c>
      <c r="B43" t="s">
        <v>40</v>
      </c>
      <c r="C43" t="s">
        <v>54</v>
      </c>
      <c r="D43" t="s">
        <v>26</v>
      </c>
      <c r="E43">
        <v>24</v>
      </c>
      <c r="F43">
        <v>1</v>
      </c>
      <c r="G43">
        <v>1</v>
      </c>
      <c r="H43">
        <v>1</v>
      </c>
      <c r="I43">
        <v>4</v>
      </c>
      <c r="J43">
        <v>30</v>
      </c>
      <c r="K43">
        <v>29</v>
      </c>
      <c r="L43">
        <v>50000</v>
      </c>
      <c r="M43">
        <v>1666.6666666666667</v>
      </c>
      <c r="N43">
        <v>5000</v>
      </c>
      <c r="O43">
        <v>4000</v>
      </c>
      <c r="P43">
        <v>53333.333333333336</v>
      </c>
      <c r="Q43">
        <v>49333.333333333336</v>
      </c>
    </row>
    <row r="44" spans="1:17" x14ac:dyDescent="0.3">
      <c r="A44" t="s">
        <v>41</v>
      </c>
      <c r="B44" t="s">
        <v>42</v>
      </c>
      <c r="C44" t="s">
        <v>54</v>
      </c>
      <c r="D44" t="s">
        <v>43</v>
      </c>
      <c r="E44">
        <v>23</v>
      </c>
      <c r="F44">
        <v>2</v>
      </c>
      <c r="G44">
        <v>1</v>
      </c>
      <c r="H44">
        <v>1</v>
      </c>
      <c r="I44">
        <v>4</v>
      </c>
      <c r="J44">
        <v>30</v>
      </c>
      <c r="K44">
        <v>28</v>
      </c>
      <c r="L44">
        <v>12000</v>
      </c>
      <c r="M44">
        <v>400</v>
      </c>
      <c r="N44">
        <v>1200</v>
      </c>
      <c r="O44">
        <v>960</v>
      </c>
      <c r="P44">
        <v>12400</v>
      </c>
      <c r="Q44">
        <v>11440</v>
      </c>
    </row>
    <row r="45" spans="1:17" x14ac:dyDescent="0.3">
      <c r="A45" t="s">
        <v>44</v>
      </c>
      <c r="B45" t="s">
        <v>45</v>
      </c>
      <c r="C45" t="s">
        <v>54</v>
      </c>
      <c r="D45" t="s">
        <v>43</v>
      </c>
      <c r="E45">
        <v>24</v>
      </c>
      <c r="F45">
        <v>1</v>
      </c>
      <c r="G45">
        <v>1</v>
      </c>
      <c r="H45">
        <v>1</v>
      </c>
      <c r="I45">
        <v>4</v>
      </c>
      <c r="J45">
        <v>30</v>
      </c>
      <c r="K45">
        <v>29</v>
      </c>
      <c r="L45">
        <v>12000</v>
      </c>
      <c r="M45">
        <v>400</v>
      </c>
      <c r="N45">
        <v>1200</v>
      </c>
      <c r="O45">
        <v>960</v>
      </c>
      <c r="P45">
        <v>12800</v>
      </c>
      <c r="Q45">
        <v>11840</v>
      </c>
    </row>
    <row r="46" spans="1:17" x14ac:dyDescent="0.3">
      <c r="A46" t="s">
        <v>17</v>
      </c>
      <c r="B46" t="s">
        <v>18</v>
      </c>
      <c r="C46" t="s">
        <v>55</v>
      </c>
      <c r="D46" t="s">
        <v>20</v>
      </c>
      <c r="E46">
        <v>24</v>
      </c>
      <c r="F46">
        <v>1</v>
      </c>
      <c r="G46">
        <v>2</v>
      </c>
      <c r="H46">
        <v>2</v>
      </c>
      <c r="I46">
        <v>4</v>
      </c>
      <c r="J46">
        <v>31</v>
      </c>
      <c r="K46">
        <v>30</v>
      </c>
      <c r="L46">
        <v>70000</v>
      </c>
      <c r="M46">
        <v>2258.0645161290322</v>
      </c>
      <c r="N46">
        <v>7000</v>
      </c>
      <c r="O46">
        <v>5600</v>
      </c>
      <c r="P46">
        <v>74741.93548387097</v>
      </c>
      <c r="Q46">
        <v>69141.93548387097</v>
      </c>
    </row>
    <row r="47" spans="1:17" x14ac:dyDescent="0.3">
      <c r="A47" t="s">
        <v>21</v>
      </c>
      <c r="B47" t="s">
        <v>22</v>
      </c>
      <c r="C47" t="s">
        <v>55</v>
      </c>
      <c r="D47" t="s">
        <v>23</v>
      </c>
      <c r="E47">
        <v>25</v>
      </c>
      <c r="F47">
        <v>0</v>
      </c>
      <c r="G47">
        <v>2</v>
      </c>
      <c r="H47">
        <v>2</v>
      </c>
      <c r="I47">
        <v>4</v>
      </c>
      <c r="J47">
        <v>31</v>
      </c>
      <c r="K47">
        <v>31</v>
      </c>
      <c r="L47">
        <v>40000</v>
      </c>
      <c r="M47">
        <v>1290.3225806451612</v>
      </c>
      <c r="N47">
        <v>4000</v>
      </c>
      <c r="O47">
        <v>3200</v>
      </c>
      <c r="P47">
        <v>44000</v>
      </c>
      <c r="Q47">
        <v>40800</v>
      </c>
    </row>
    <row r="48" spans="1:17" x14ac:dyDescent="0.3">
      <c r="A48" t="s">
        <v>24</v>
      </c>
      <c r="B48" t="s">
        <v>25</v>
      </c>
      <c r="C48" t="s">
        <v>55</v>
      </c>
      <c r="D48" t="s">
        <v>26</v>
      </c>
      <c r="E48">
        <v>23</v>
      </c>
      <c r="F48">
        <v>2</v>
      </c>
      <c r="G48">
        <v>2</v>
      </c>
      <c r="H48">
        <v>2</v>
      </c>
      <c r="I48">
        <v>4</v>
      </c>
      <c r="J48">
        <v>31</v>
      </c>
      <c r="K48">
        <v>29</v>
      </c>
      <c r="L48">
        <v>50000</v>
      </c>
      <c r="M48">
        <v>1612.9032258064517</v>
      </c>
      <c r="N48">
        <v>5000</v>
      </c>
      <c r="O48">
        <v>4000</v>
      </c>
      <c r="P48">
        <v>51774.193548387098</v>
      </c>
      <c r="Q48">
        <v>47774.193548387098</v>
      </c>
    </row>
    <row r="49" spans="1:17" x14ac:dyDescent="0.3">
      <c r="A49" t="s">
        <v>27</v>
      </c>
      <c r="B49" t="s">
        <v>28</v>
      </c>
      <c r="C49" t="s">
        <v>55</v>
      </c>
      <c r="D49" t="s">
        <v>23</v>
      </c>
      <c r="E49">
        <v>25</v>
      </c>
      <c r="F49">
        <v>0</v>
      </c>
      <c r="G49">
        <v>2</v>
      </c>
      <c r="H49">
        <v>2</v>
      </c>
      <c r="I49">
        <v>4</v>
      </c>
      <c r="J49">
        <v>31</v>
      </c>
      <c r="K49">
        <v>31</v>
      </c>
      <c r="L49">
        <v>40000</v>
      </c>
      <c r="M49">
        <v>1290.3225806451612</v>
      </c>
      <c r="N49">
        <v>4000</v>
      </c>
      <c r="O49">
        <v>3200</v>
      </c>
      <c r="P49">
        <v>44000</v>
      </c>
      <c r="Q49">
        <v>40800</v>
      </c>
    </row>
    <row r="50" spans="1:17" x14ac:dyDescent="0.3">
      <c r="A50" t="s">
        <v>29</v>
      </c>
      <c r="B50" t="s">
        <v>30</v>
      </c>
      <c r="C50" t="s">
        <v>55</v>
      </c>
      <c r="D50" t="s">
        <v>31</v>
      </c>
      <c r="E50">
        <v>24</v>
      </c>
      <c r="F50">
        <v>1</v>
      </c>
      <c r="G50">
        <v>2</v>
      </c>
      <c r="H50">
        <v>2</v>
      </c>
      <c r="I50">
        <v>4</v>
      </c>
      <c r="J50">
        <v>31</v>
      </c>
      <c r="K50">
        <v>30</v>
      </c>
      <c r="L50">
        <v>25000</v>
      </c>
      <c r="M50">
        <v>806.45161290322585</v>
      </c>
      <c r="N50">
        <v>2500</v>
      </c>
      <c r="O50">
        <v>2000</v>
      </c>
      <c r="P50">
        <v>26693.548387096776</v>
      </c>
      <c r="Q50">
        <v>24693.548387096776</v>
      </c>
    </row>
    <row r="51" spans="1:17" x14ac:dyDescent="0.3">
      <c r="A51" t="s">
        <v>32</v>
      </c>
      <c r="B51" t="s">
        <v>33</v>
      </c>
      <c r="C51" t="s">
        <v>55</v>
      </c>
      <c r="D51" t="s">
        <v>31</v>
      </c>
      <c r="E51">
        <v>24</v>
      </c>
      <c r="F51">
        <v>1</v>
      </c>
      <c r="G51">
        <v>2</v>
      </c>
      <c r="H51">
        <v>2</v>
      </c>
      <c r="I51">
        <v>4</v>
      </c>
      <c r="J51">
        <v>31</v>
      </c>
      <c r="K51">
        <v>30</v>
      </c>
      <c r="L51">
        <v>25000</v>
      </c>
      <c r="M51">
        <v>806.45161290322585</v>
      </c>
      <c r="N51">
        <v>2500</v>
      </c>
      <c r="O51">
        <v>2000</v>
      </c>
      <c r="P51">
        <v>26693.548387096776</v>
      </c>
      <c r="Q51">
        <v>24693.548387096776</v>
      </c>
    </row>
    <row r="52" spans="1:17" x14ac:dyDescent="0.3">
      <c r="A52" t="s">
        <v>34</v>
      </c>
      <c r="B52" t="s">
        <v>35</v>
      </c>
      <c r="C52" t="s">
        <v>55</v>
      </c>
      <c r="D52" t="s">
        <v>36</v>
      </c>
      <c r="E52">
        <v>24</v>
      </c>
      <c r="F52">
        <v>1</v>
      </c>
      <c r="G52">
        <v>2</v>
      </c>
      <c r="H52">
        <v>2</v>
      </c>
      <c r="I52">
        <v>4</v>
      </c>
      <c r="J52">
        <v>31</v>
      </c>
      <c r="K52">
        <v>30</v>
      </c>
      <c r="L52">
        <v>30000</v>
      </c>
      <c r="M52">
        <v>967.74193548387098</v>
      </c>
      <c r="N52">
        <v>3000</v>
      </c>
      <c r="O52">
        <v>2400</v>
      </c>
      <c r="P52">
        <v>32032.258064516129</v>
      </c>
      <c r="Q52">
        <v>29632.258064516129</v>
      </c>
    </row>
    <row r="53" spans="1:17" x14ac:dyDescent="0.3">
      <c r="A53" t="s">
        <v>37</v>
      </c>
      <c r="B53" t="s">
        <v>38</v>
      </c>
      <c r="C53" t="s">
        <v>55</v>
      </c>
      <c r="D53" t="s">
        <v>20</v>
      </c>
      <c r="E53">
        <v>24</v>
      </c>
      <c r="F53">
        <v>1</v>
      </c>
      <c r="G53">
        <v>2</v>
      </c>
      <c r="H53">
        <v>2</v>
      </c>
      <c r="I53">
        <v>4</v>
      </c>
      <c r="J53">
        <v>31</v>
      </c>
      <c r="K53">
        <v>30</v>
      </c>
      <c r="L53">
        <v>70000</v>
      </c>
      <c r="M53">
        <v>2258.0645161290322</v>
      </c>
      <c r="N53">
        <v>7000</v>
      </c>
      <c r="O53">
        <v>5600</v>
      </c>
      <c r="P53">
        <v>74741.93548387097</v>
      </c>
      <c r="Q53">
        <v>69141.93548387097</v>
      </c>
    </row>
    <row r="54" spans="1:17" x14ac:dyDescent="0.3">
      <c r="A54" t="s">
        <v>39</v>
      </c>
      <c r="B54" t="s">
        <v>40</v>
      </c>
      <c r="C54" t="s">
        <v>55</v>
      </c>
      <c r="D54" t="s">
        <v>26</v>
      </c>
      <c r="E54">
        <v>24</v>
      </c>
      <c r="F54">
        <v>1</v>
      </c>
      <c r="G54">
        <v>2</v>
      </c>
      <c r="H54">
        <v>2</v>
      </c>
      <c r="I54">
        <v>4</v>
      </c>
      <c r="J54">
        <v>31</v>
      </c>
      <c r="K54">
        <v>30</v>
      </c>
      <c r="L54">
        <v>50000</v>
      </c>
      <c r="M54">
        <v>1612.9032258064517</v>
      </c>
      <c r="N54">
        <v>5000</v>
      </c>
      <c r="O54">
        <v>4000</v>
      </c>
      <c r="P54">
        <v>53387.096774193553</v>
      </c>
      <c r="Q54">
        <v>49387.096774193553</v>
      </c>
    </row>
    <row r="55" spans="1:17" x14ac:dyDescent="0.3">
      <c r="A55" t="s">
        <v>41</v>
      </c>
      <c r="B55" t="s">
        <v>42</v>
      </c>
      <c r="C55" t="s">
        <v>55</v>
      </c>
      <c r="D55" t="s">
        <v>43</v>
      </c>
      <c r="E55">
        <v>24</v>
      </c>
      <c r="F55">
        <v>1</v>
      </c>
      <c r="G55">
        <v>2</v>
      </c>
      <c r="H55">
        <v>2</v>
      </c>
      <c r="I55">
        <v>4</v>
      </c>
      <c r="J55">
        <v>31</v>
      </c>
      <c r="K55">
        <v>30</v>
      </c>
      <c r="L55">
        <v>12000</v>
      </c>
      <c r="M55">
        <v>387.09677419354841</v>
      </c>
      <c r="N55">
        <v>1200</v>
      </c>
      <c r="O55">
        <v>960</v>
      </c>
      <c r="P55">
        <v>12812.903225806453</v>
      </c>
      <c r="Q55">
        <v>11852.903225806453</v>
      </c>
    </row>
    <row r="56" spans="1:17" x14ac:dyDescent="0.3">
      <c r="A56" t="s">
        <v>44</v>
      </c>
      <c r="B56" t="s">
        <v>45</v>
      </c>
      <c r="C56" t="s">
        <v>55</v>
      </c>
      <c r="D56" t="s">
        <v>43</v>
      </c>
      <c r="E56">
        <v>24</v>
      </c>
      <c r="F56">
        <v>1</v>
      </c>
      <c r="G56">
        <v>2</v>
      </c>
      <c r="H56">
        <v>2</v>
      </c>
      <c r="I56">
        <v>4</v>
      </c>
      <c r="J56">
        <v>31</v>
      </c>
      <c r="K56">
        <v>30</v>
      </c>
      <c r="L56">
        <v>12000</v>
      </c>
      <c r="M56">
        <v>387.09677419354841</v>
      </c>
      <c r="N56">
        <v>1200</v>
      </c>
      <c r="O56">
        <v>960</v>
      </c>
      <c r="P56">
        <v>12812.903225806453</v>
      </c>
      <c r="Q56">
        <v>11852.903225806453</v>
      </c>
    </row>
    <row r="57" spans="1:17" x14ac:dyDescent="0.3">
      <c r="A57" t="s">
        <v>17</v>
      </c>
      <c r="B57" t="s">
        <v>18</v>
      </c>
      <c r="C57" t="s">
        <v>56</v>
      </c>
      <c r="D57" t="s">
        <v>20</v>
      </c>
      <c r="E57">
        <v>23</v>
      </c>
      <c r="F57">
        <v>1</v>
      </c>
      <c r="G57">
        <v>1</v>
      </c>
      <c r="H57">
        <v>1</v>
      </c>
      <c r="I57">
        <v>5</v>
      </c>
      <c r="J57">
        <v>30</v>
      </c>
      <c r="K57">
        <v>29</v>
      </c>
      <c r="L57">
        <v>70000</v>
      </c>
      <c r="M57">
        <v>2333.3333333333335</v>
      </c>
      <c r="N57">
        <v>7000</v>
      </c>
      <c r="O57">
        <v>5600</v>
      </c>
      <c r="P57">
        <v>74666.666666666672</v>
      </c>
      <c r="Q57">
        <v>69066.666666666672</v>
      </c>
    </row>
    <row r="58" spans="1:17" x14ac:dyDescent="0.3">
      <c r="A58" t="s">
        <v>21</v>
      </c>
      <c r="B58" t="s">
        <v>22</v>
      </c>
      <c r="C58" t="s">
        <v>56</v>
      </c>
      <c r="D58" t="s">
        <v>23</v>
      </c>
      <c r="E58">
        <v>23</v>
      </c>
      <c r="F58">
        <v>1</v>
      </c>
      <c r="G58">
        <v>1</v>
      </c>
      <c r="H58">
        <v>1</v>
      </c>
      <c r="I58">
        <v>5</v>
      </c>
      <c r="J58">
        <v>30</v>
      </c>
      <c r="K58">
        <v>29</v>
      </c>
      <c r="L58">
        <v>40000</v>
      </c>
      <c r="M58">
        <v>1333.3333333333333</v>
      </c>
      <c r="N58">
        <v>4000</v>
      </c>
      <c r="O58">
        <v>3200</v>
      </c>
      <c r="P58">
        <v>42666.666666666664</v>
      </c>
      <c r="Q58">
        <v>39466.666666666664</v>
      </c>
    </row>
    <row r="59" spans="1:17" x14ac:dyDescent="0.3">
      <c r="A59" t="s">
        <v>24</v>
      </c>
      <c r="B59" t="s">
        <v>25</v>
      </c>
      <c r="C59" t="s">
        <v>56</v>
      </c>
      <c r="D59" t="s">
        <v>26</v>
      </c>
      <c r="E59">
        <v>23</v>
      </c>
      <c r="F59">
        <v>1</v>
      </c>
      <c r="G59">
        <v>1</v>
      </c>
      <c r="H59">
        <v>1</v>
      </c>
      <c r="I59">
        <v>5</v>
      </c>
      <c r="J59">
        <v>30</v>
      </c>
      <c r="K59">
        <v>29</v>
      </c>
      <c r="L59">
        <v>50000</v>
      </c>
      <c r="M59">
        <v>1666.6666666666667</v>
      </c>
      <c r="N59">
        <v>5000</v>
      </c>
      <c r="O59">
        <v>4000</v>
      </c>
      <c r="P59">
        <v>53333.333333333336</v>
      </c>
      <c r="Q59">
        <v>49333.333333333336</v>
      </c>
    </row>
    <row r="60" spans="1:17" x14ac:dyDescent="0.3">
      <c r="A60" t="s">
        <v>27</v>
      </c>
      <c r="B60" t="s">
        <v>28</v>
      </c>
      <c r="C60" t="s">
        <v>56</v>
      </c>
      <c r="D60" t="s">
        <v>23</v>
      </c>
      <c r="E60">
        <v>23</v>
      </c>
      <c r="F60">
        <v>1</v>
      </c>
      <c r="G60">
        <v>1</v>
      </c>
      <c r="H60">
        <v>1</v>
      </c>
      <c r="I60">
        <v>5</v>
      </c>
      <c r="J60">
        <v>30</v>
      </c>
      <c r="K60">
        <v>29</v>
      </c>
      <c r="L60">
        <v>40000</v>
      </c>
      <c r="M60">
        <v>1333.3333333333333</v>
      </c>
      <c r="N60">
        <v>4000</v>
      </c>
      <c r="O60">
        <v>3200</v>
      </c>
      <c r="P60">
        <v>42666.666666666664</v>
      </c>
      <c r="Q60">
        <v>39466.666666666664</v>
      </c>
    </row>
    <row r="61" spans="1:17" x14ac:dyDescent="0.3">
      <c r="A61" t="s">
        <v>29</v>
      </c>
      <c r="B61" t="s">
        <v>30</v>
      </c>
      <c r="C61" t="s">
        <v>56</v>
      </c>
      <c r="D61" t="s">
        <v>31</v>
      </c>
      <c r="E61">
        <v>23</v>
      </c>
      <c r="F61">
        <v>1</v>
      </c>
      <c r="G61">
        <v>1</v>
      </c>
      <c r="H61">
        <v>1</v>
      </c>
      <c r="I61">
        <v>5</v>
      </c>
      <c r="J61">
        <v>30</v>
      </c>
      <c r="K61">
        <v>29</v>
      </c>
      <c r="L61">
        <v>25000</v>
      </c>
      <c r="M61">
        <v>833.33333333333337</v>
      </c>
      <c r="N61">
        <v>2500</v>
      </c>
      <c r="O61">
        <v>2000</v>
      </c>
      <c r="P61">
        <v>26666.666666666668</v>
      </c>
      <c r="Q61">
        <v>24666.666666666668</v>
      </c>
    </row>
    <row r="62" spans="1:17" x14ac:dyDescent="0.3">
      <c r="A62" t="s">
        <v>32</v>
      </c>
      <c r="B62" t="s">
        <v>33</v>
      </c>
      <c r="C62" t="s">
        <v>56</v>
      </c>
      <c r="D62" t="s">
        <v>31</v>
      </c>
      <c r="E62">
        <v>23</v>
      </c>
      <c r="F62">
        <v>1</v>
      </c>
      <c r="G62">
        <v>1</v>
      </c>
      <c r="H62">
        <v>1</v>
      </c>
      <c r="I62">
        <v>5</v>
      </c>
      <c r="J62">
        <v>30</v>
      </c>
      <c r="K62">
        <v>29</v>
      </c>
      <c r="L62">
        <v>25000</v>
      </c>
      <c r="M62">
        <v>833.33333333333337</v>
      </c>
      <c r="N62">
        <v>2500</v>
      </c>
      <c r="O62">
        <v>2000</v>
      </c>
      <c r="P62">
        <v>26666.666666666668</v>
      </c>
      <c r="Q62">
        <v>24666.666666666668</v>
      </c>
    </row>
    <row r="63" spans="1:17" x14ac:dyDescent="0.3">
      <c r="A63" t="s">
        <v>34</v>
      </c>
      <c r="B63" t="s">
        <v>35</v>
      </c>
      <c r="C63" t="s">
        <v>56</v>
      </c>
      <c r="D63" t="s">
        <v>36</v>
      </c>
      <c r="E63">
        <v>24</v>
      </c>
      <c r="F63">
        <v>0</v>
      </c>
      <c r="G63">
        <v>1</v>
      </c>
      <c r="H63">
        <v>1</v>
      </c>
      <c r="I63">
        <v>5</v>
      </c>
      <c r="J63">
        <v>30</v>
      </c>
      <c r="K63">
        <v>30</v>
      </c>
      <c r="L63">
        <v>30000</v>
      </c>
      <c r="M63">
        <v>1000</v>
      </c>
      <c r="N63">
        <v>3000</v>
      </c>
      <c r="O63">
        <v>2400</v>
      </c>
      <c r="P63">
        <v>33000</v>
      </c>
      <c r="Q63">
        <v>30600</v>
      </c>
    </row>
    <row r="64" spans="1:17" x14ac:dyDescent="0.3">
      <c r="A64" t="s">
        <v>37</v>
      </c>
      <c r="B64" t="s">
        <v>38</v>
      </c>
      <c r="C64" t="s">
        <v>56</v>
      </c>
      <c r="D64" t="s">
        <v>20</v>
      </c>
      <c r="E64">
        <v>23</v>
      </c>
      <c r="F64">
        <v>1</v>
      </c>
      <c r="G64">
        <v>1</v>
      </c>
      <c r="H64">
        <v>1</v>
      </c>
      <c r="I64">
        <v>5</v>
      </c>
      <c r="J64">
        <v>30</v>
      </c>
      <c r="K64">
        <v>29</v>
      </c>
      <c r="L64">
        <v>70000</v>
      </c>
      <c r="M64">
        <v>2333.3333333333335</v>
      </c>
      <c r="N64">
        <v>7000</v>
      </c>
      <c r="O64">
        <v>5600</v>
      </c>
      <c r="P64">
        <v>74666.666666666672</v>
      </c>
      <c r="Q64">
        <v>69066.666666666672</v>
      </c>
    </row>
    <row r="65" spans="1:17" x14ac:dyDescent="0.3">
      <c r="A65" t="s">
        <v>39</v>
      </c>
      <c r="B65" t="s">
        <v>40</v>
      </c>
      <c r="C65" t="s">
        <v>56</v>
      </c>
      <c r="D65" t="s">
        <v>26</v>
      </c>
      <c r="E65">
        <v>23</v>
      </c>
      <c r="F65">
        <v>1</v>
      </c>
      <c r="G65">
        <v>1</v>
      </c>
      <c r="H65">
        <v>1</v>
      </c>
      <c r="I65">
        <v>5</v>
      </c>
      <c r="J65">
        <v>30</v>
      </c>
      <c r="K65">
        <v>29</v>
      </c>
      <c r="L65">
        <v>50000</v>
      </c>
      <c r="M65">
        <v>1666.6666666666667</v>
      </c>
      <c r="N65">
        <v>5000</v>
      </c>
      <c r="O65">
        <v>4000</v>
      </c>
      <c r="P65">
        <v>53333.333333333336</v>
      </c>
      <c r="Q65">
        <v>49333.333333333336</v>
      </c>
    </row>
    <row r="66" spans="1:17" x14ac:dyDescent="0.3">
      <c r="A66" t="s">
        <v>41</v>
      </c>
      <c r="B66" t="s">
        <v>42</v>
      </c>
      <c r="C66" t="s">
        <v>56</v>
      </c>
      <c r="D66" t="s">
        <v>43</v>
      </c>
      <c r="E66">
        <v>23</v>
      </c>
      <c r="F66">
        <v>1</v>
      </c>
      <c r="G66">
        <v>1</v>
      </c>
      <c r="H66">
        <v>1</v>
      </c>
      <c r="I66">
        <v>5</v>
      </c>
      <c r="J66">
        <v>30</v>
      </c>
      <c r="K66">
        <v>29</v>
      </c>
      <c r="L66">
        <v>12000</v>
      </c>
      <c r="M66">
        <v>400</v>
      </c>
      <c r="N66">
        <v>1200</v>
      </c>
      <c r="O66">
        <v>960</v>
      </c>
      <c r="P66">
        <v>12800</v>
      </c>
      <c r="Q66">
        <v>11840</v>
      </c>
    </row>
    <row r="67" spans="1:17" x14ac:dyDescent="0.3">
      <c r="A67" t="s">
        <v>44</v>
      </c>
      <c r="B67" t="s">
        <v>45</v>
      </c>
      <c r="C67" t="s">
        <v>56</v>
      </c>
      <c r="D67" t="s">
        <v>43</v>
      </c>
      <c r="E67">
        <v>24</v>
      </c>
      <c r="F67">
        <v>0</v>
      </c>
      <c r="G67">
        <v>1</v>
      </c>
      <c r="H67">
        <v>1</v>
      </c>
      <c r="I67">
        <v>5</v>
      </c>
      <c r="J67">
        <v>30</v>
      </c>
      <c r="K67">
        <v>30</v>
      </c>
      <c r="L67">
        <v>12000</v>
      </c>
      <c r="M67">
        <v>400</v>
      </c>
      <c r="N67">
        <v>1200</v>
      </c>
      <c r="O67">
        <v>960</v>
      </c>
      <c r="P67">
        <v>13200</v>
      </c>
      <c r="Q67">
        <v>12240</v>
      </c>
    </row>
    <row r="68" spans="1:17" x14ac:dyDescent="0.3">
      <c r="A68" t="s">
        <v>17</v>
      </c>
      <c r="B68" t="s">
        <v>18</v>
      </c>
      <c r="C68" t="s">
        <v>19</v>
      </c>
      <c r="D68" t="s">
        <v>20</v>
      </c>
      <c r="E68">
        <v>26</v>
      </c>
      <c r="F68">
        <v>1</v>
      </c>
      <c r="G68">
        <v>0</v>
      </c>
      <c r="H68">
        <v>0</v>
      </c>
      <c r="I68">
        <v>4</v>
      </c>
      <c r="J68">
        <v>31</v>
      </c>
      <c r="K68">
        <v>30</v>
      </c>
      <c r="L68">
        <v>70000</v>
      </c>
      <c r="M68">
        <v>2258.0645161290322</v>
      </c>
      <c r="N68">
        <v>7000</v>
      </c>
      <c r="O68">
        <v>5600</v>
      </c>
      <c r="P68">
        <v>74741.93548387097</v>
      </c>
      <c r="Q68">
        <v>69141.93548387097</v>
      </c>
    </row>
    <row r="69" spans="1:17" x14ac:dyDescent="0.3">
      <c r="A69" t="s">
        <v>21</v>
      </c>
      <c r="B69" t="s">
        <v>22</v>
      </c>
      <c r="C69" t="s">
        <v>19</v>
      </c>
      <c r="D69" t="s">
        <v>23</v>
      </c>
      <c r="E69">
        <v>26</v>
      </c>
      <c r="F69">
        <v>1</v>
      </c>
      <c r="G69">
        <v>0</v>
      </c>
      <c r="H69">
        <v>0</v>
      </c>
      <c r="I69">
        <v>4</v>
      </c>
      <c r="J69">
        <v>31</v>
      </c>
      <c r="K69">
        <v>30</v>
      </c>
      <c r="L69">
        <v>40000</v>
      </c>
      <c r="M69">
        <v>1290.3225806451612</v>
      </c>
      <c r="N69">
        <v>4000</v>
      </c>
      <c r="O69">
        <v>3200</v>
      </c>
      <c r="P69">
        <v>42709.677419354834</v>
      </c>
      <c r="Q69">
        <v>39509.677419354834</v>
      </c>
    </row>
    <row r="70" spans="1:17" x14ac:dyDescent="0.3">
      <c r="A70" t="s">
        <v>24</v>
      </c>
      <c r="B70" t="s">
        <v>25</v>
      </c>
      <c r="C70" t="s">
        <v>19</v>
      </c>
      <c r="D70" t="s">
        <v>26</v>
      </c>
      <c r="E70">
        <v>25</v>
      </c>
      <c r="F70">
        <v>2</v>
      </c>
      <c r="G70">
        <v>0</v>
      </c>
      <c r="H70">
        <v>0</v>
      </c>
      <c r="I70">
        <v>4</v>
      </c>
      <c r="J70">
        <v>31</v>
      </c>
      <c r="K70">
        <v>29</v>
      </c>
      <c r="L70">
        <v>50000</v>
      </c>
      <c r="M70">
        <v>1612.9032258064517</v>
      </c>
      <c r="N70">
        <v>5000</v>
      </c>
      <c r="O70">
        <v>4000</v>
      </c>
      <c r="P70">
        <v>51774.193548387098</v>
      </c>
      <c r="Q70">
        <v>47774.193548387098</v>
      </c>
    </row>
    <row r="71" spans="1:17" x14ac:dyDescent="0.3">
      <c r="A71" t="s">
        <v>27</v>
      </c>
      <c r="B71" t="s">
        <v>28</v>
      </c>
      <c r="C71" t="s">
        <v>19</v>
      </c>
      <c r="D71" t="s">
        <v>23</v>
      </c>
      <c r="E71">
        <v>27</v>
      </c>
      <c r="F71">
        <v>0</v>
      </c>
      <c r="G71">
        <v>0</v>
      </c>
      <c r="H71">
        <v>0</v>
      </c>
      <c r="I71">
        <v>4</v>
      </c>
      <c r="J71">
        <v>31</v>
      </c>
      <c r="K71">
        <v>31</v>
      </c>
      <c r="L71">
        <v>40000</v>
      </c>
      <c r="M71">
        <v>1290.3225806451612</v>
      </c>
      <c r="N71">
        <v>4000</v>
      </c>
      <c r="O71">
        <v>3200</v>
      </c>
      <c r="P71">
        <v>44000</v>
      </c>
      <c r="Q71">
        <v>40800</v>
      </c>
    </row>
    <row r="72" spans="1:17" x14ac:dyDescent="0.3">
      <c r="A72" t="s">
        <v>29</v>
      </c>
      <c r="B72" t="s">
        <v>30</v>
      </c>
      <c r="C72" t="s">
        <v>19</v>
      </c>
      <c r="D72" t="s">
        <v>31</v>
      </c>
      <c r="E72">
        <v>26</v>
      </c>
      <c r="F72">
        <v>1</v>
      </c>
      <c r="G72">
        <v>0</v>
      </c>
      <c r="H72">
        <v>0</v>
      </c>
      <c r="I72">
        <v>4</v>
      </c>
      <c r="J72">
        <v>31</v>
      </c>
      <c r="K72">
        <v>30</v>
      </c>
      <c r="L72">
        <v>25000</v>
      </c>
      <c r="M72">
        <v>806.45161290322585</v>
      </c>
      <c r="N72">
        <v>2500</v>
      </c>
      <c r="O72">
        <v>2000</v>
      </c>
      <c r="P72">
        <v>26693.548387096776</v>
      </c>
      <c r="Q72">
        <v>24693.548387096776</v>
      </c>
    </row>
    <row r="73" spans="1:17" x14ac:dyDescent="0.3">
      <c r="A73" t="s">
        <v>32</v>
      </c>
      <c r="B73" t="s">
        <v>33</v>
      </c>
      <c r="C73" t="s">
        <v>19</v>
      </c>
      <c r="D73" t="s">
        <v>31</v>
      </c>
      <c r="E73">
        <v>25</v>
      </c>
      <c r="F73">
        <v>2</v>
      </c>
      <c r="G73">
        <v>0</v>
      </c>
      <c r="H73">
        <v>0</v>
      </c>
      <c r="I73">
        <v>4</v>
      </c>
      <c r="J73">
        <v>31</v>
      </c>
      <c r="K73">
        <v>29</v>
      </c>
      <c r="L73">
        <v>25000</v>
      </c>
      <c r="M73">
        <v>806.45161290322585</v>
      </c>
      <c r="N73">
        <v>2500</v>
      </c>
      <c r="O73">
        <v>2000</v>
      </c>
      <c r="P73">
        <v>25887.096774193549</v>
      </c>
      <c r="Q73">
        <v>23887.096774193549</v>
      </c>
    </row>
    <row r="74" spans="1:17" x14ac:dyDescent="0.3">
      <c r="A74" t="s">
        <v>34</v>
      </c>
      <c r="B74" t="s">
        <v>35</v>
      </c>
      <c r="C74" t="s">
        <v>19</v>
      </c>
      <c r="D74" t="s">
        <v>36</v>
      </c>
      <c r="E74">
        <v>27</v>
      </c>
      <c r="F74">
        <v>0</v>
      </c>
      <c r="G74">
        <v>0</v>
      </c>
      <c r="H74">
        <v>0</v>
      </c>
      <c r="I74">
        <v>4</v>
      </c>
      <c r="J74">
        <v>31</v>
      </c>
      <c r="K74">
        <v>31</v>
      </c>
      <c r="L74">
        <v>30000</v>
      </c>
      <c r="M74">
        <v>967.74193548387098</v>
      </c>
      <c r="N74">
        <v>3000</v>
      </c>
      <c r="O74">
        <v>2400</v>
      </c>
      <c r="P74">
        <v>33000</v>
      </c>
      <c r="Q74">
        <v>30600</v>
      </c>
    </row>
    <row r="75" spans="1:17" x14ac:dyDescent="0.3">
      <c r="A75" t="s">
        <v>37</v>
      </c>
      <c r="B75" t="s">
        <v>38</v>
      </c>
      <c r="C75" t="s">
        <v>19</v>
      </c>
      <c r="D75" t="s">
        <v>20</v>
      </c>
      <c r="E75">
        <v>26</v>
      </c>
      <c r="F75">
        <v>1</v>
      </c>
      <c r="G75">
        <v>0</v>
      </c>
      <c r="H75">
        <v>0</v>
      </c>
      <c r="I75">
        <v>4</v>
      </c>
      <c r="J75">
        <v>31</v>
      </c>
      <c r="K75">
        <v>30</v>
      </c>
      <c r="L75">
        <v>70000</v>
      </c>
      <c r="M75">
        <v>2258.0645161290322</v>
      </c>
      <c r="N75">
        <v>7000</v>
      </c>
      <c r="O75">
        <v>5600</v>
      </c>
      <c r="P75">
        <v>74741.93548387097</v>
      </c>
      <c r="Q75">
        <v>69141.93548387097</v>
      </c>
    </row>
    <row r="76" spans="1:17" x14ac:dyDescent="0.3">
      <c r="A76" t="s">
        <v>39</v>
      </c>
      <c r="B76" t="s">
        <v>40</v>
      </c>
      <c r="C76" t="s">
        <v>19</v>
      </c>
      <c r="D76" t="s">
        <v>26</v>
      </c>
      <c r="E76">
        <v>26</v>
      </c>
      <c r="F76">
        <v>1</v>
      </c>
      <c r="G76">
        <v>0</v>
      </c>
      <c r="H76">
        <v>0</v>
      </c>
      <c r="I76">
        <v>4</v>
      </c>
      <c r="J76">
        <v>31</v>
      </c>
      <c r="K76">
        <v>30</v>
      </c>
      <c r="L76">
        <v>50000</v>
      </c>
      <c r="M76">
        <v>1612.9032258064517</v>
      </c>
      <c r="N76">
        <v>5000</v>
      </c>
      <c r="O76">
        <v>4000</v>
      </c>
      <c r="P76">
        <v>53387.096774193553</v>
      </c>
      <c r="Q76">
        <v>49387.096774193553</v>
      </c>
    </row>
    <row r="77" spans="1:17" x14ac:dyDescent="0.3">
      <c r="A77" t="s">
        <v>41</v>
      </c>
      <c r="B77" t="s">
        <v>42</v>
      </c>
      <c r="C77" t="s">
        <v>19</v>
      </c>
      <c r="D77" t="s">
        <v>43</v>
      </c>
      <c r="E77">
        <v>26</v>
      </c>
      <c r="F77">
        <v>1</v>
      </c>
      <c r="G77">
        <v>0</v>
      </c>
      <c r="H77">
        <v>0</v>
      </c>
      <c r="I77">
        <v>4</v>
      </c>
      <c r="J77">
        <v>31</v>
      </c>
      <c r="K77">
        <v>30</v>
      </c>
      <c r="L77">
        <v>12000</v>
      </c>
      <c r="M77">
        <v>387.09677419354841</v>
      </c>
      <c r="N77">
        <v>1200</v>
      </c>
      <c r="O77">
        <v>960</v>
      </c>
      <c r="P77">
        <v>12812.903225806453</v>
      </c>
      <c r="Q77">
        <v>11852.903225806453</v>
      </c>
    </row>
    <row r="78" spans="1:17" x14ac:dyDescent="0.3">
      <c r="A78" t="s">
        <v>44</v>
      </c>
      <c r="B78" t="s">
        <v>45</v>
      </c>
      <c r="C78" t="s">
        <v>19</v>
      </c>
      <c r="D78" t="s">
        <v>43</v>
      </c>
      <c r="E78">
        <v>26</v>
      </c>
      <c r="F78">
        <v>1</v>
      </c>
      <c r="G78">
        <v>0</v>
      </c>
      <c r="H78">
        <v>0</v>
      </c>
      <c r="I78">
        <v>4</v>
      </c>
      <c r="J78">
        <v>31</v>
      </c>
      <c r="K78">
        <v>30</v>
      </c>
      <c r="L78">
        <v>12000</v>
      </c>
      <c r="M78">
        <v>387.09677419354841</v>
      </c>
      <c r="N78">
        <v>1200</v>
      </c>
      <c r="O78">
        <v>960</v>
      </c>
      <c r="P78">
        <v>12812.903225806453</v>
      </c>
      <c r="Q78">
        <v>11852.903225806453</v>
      </c>
    </row>
    <row r="79" spans="1:17" x14ac:dyDescent="0.3">
      <c r="A79" t="s">
        <v>17</v>
      </c>
      <c r="B79" t="s">
        <v>18</v>
      </c>
      <c r="C79" t="s">
        <v>46</v>
      </c>
      <c r="D79" t="s">
        <v>20</v>
      </c>
      <c r="E79">
        <v>23</v>
      </c>
      <c r="F79">
        <v>1</v>
      </c>
      <c r="G79">
        <v>2</v>
      </c>
      <c r="H79">
        <v>2</v>
      </c>
      <c r="I79">
        <v>5</v>
      </c>
      <c r="J79">
        <v>31</v>
      </c>
      <c r="K79">
        <v>30</v>
      </c>
      <c r="L79">
        <v>70000</v>
      </c>
      <c r="M79">
        <v>2258.0645161290322</v>
      </c>
      <c r="N79">
        <v>7000</v>
      </c>
      <c r="O79">
        <v>5600</v>
      </c>
      <c r="P79">
        <v>74741.93548387097</v>
      </c>
      <c r="Q79">
        <v>69141.93548387097</v>
      </c>
    </row>
    <row r="80" spans="1:17" x14ac:dyDescent="0.3">
      <c r="A80" t="s">
        <v>21</v>
      </c>
      <c r="B80" t="s">
        <v>22</v>
      </c>
      <c r="C80" t="s">
        <v>46</v>
      </c>
      <c r="D80" t="s">
        <v>23</v>
      </c>
      <c r="E80">
        <v>23</v>
      </c>
      <c r="F80">
        <v>1</v>
      </c>
      <c r="G80">
        <v>2</v>
      </c>
      <c r="H80">
        <v>2</v>
      </c>
      <c r="I80">
        <v>5</v>
      </c>
      <c r="J80">
        <v>31</v>
      </c>
      <c r="K80">
        <v>30</v>
      </c>
      <c r="L80">
        <v>40000</v>
      </c>
      <c r="M80">
        <v>1290.3225806451612</v>
      </c>
      <c r="N80">
        <v>4000</v>
      </c>
      <c r="O80">
        <v>3200</v>
      </c>
      <c r="P80">
        <v>42709.677419354834</v>
      </c>
      <c r="Q80">
        <v>39509.677419354834</v>
      </c>
    </row>
    <row r="81" spans="1:17" x14ac:dyDescent="0.3">
      <c r="A81" t="s">
        <v>24</v>
      </c>
      <c r="B81" t="s">
        <v>25</v>
      </c>
      <c r="C81" t="s">
        <v>46</v>
      </c>
      <c r="D81" t="s">
        <v>26</v>
      </c>
      <c r="E81">
        <v>23</v>
      </c>
      <c r="F81">
        <v>1</v>
      </c>
      <c r="G81">
        <v>2</v>
      </c>
      <c r="H81">
        <v>2</v>
      </c>
      <c r="I81">
        <v>5</v>
      </c>
      <c r="J81">
        <v>31</v>
      </c>
      <c r="K81">
        <v>30</v>
      </c>
      <c r="L81">
        <v>50000</v>
      </c>
      <c r="M81">
        <v>1612.9032258064517</v>
      </c>
      <c r="N81">
        <v>5000</v>
      </c>
      <c r="O81">
        <v>4000</v>
      </c>
      <c r="P81">
        <v>53387.096774193553</v>
      </c>
      <c r="Q81">
        <v>49387.096774193553</v>
      </c>
    </row>
    <row r="82" spans="1:17" x14ac:dyDescent="0.3">
      <c r="A82" t="s">
        <v>27</v>
      </c>
      <c r="B82" t="s">
        <v>28</v>
      </c>
      <c r="C82" t="s">
        <v>46</v>
      </c>
      <c r="D82" t="s">
        <v>23</v>
      </c>
      <c r="E82">
        <v>23</v>
      </c>
      <c r="F82">
        <v>1</v>
      </c>
      <c r="G82">
        <v>2</v>
      </c>
      <c r="H82">
        <v>2</v>
      </c>
      <c r="I82">
        <v>5</v>
      </c>
      <c r="J82">
        <v>31</v>
      </c>
      <c r="K82">
        <v>30</v>
      </c>
      <c r="L82">
        <v>40000</v>
      </c>
      <c r="M82">
        <v>1290.3225806451612</v>
      </c>
      <c r="N82">
        <v>4000</v>
      </c>
      <c r="O82">
        <v>3200</v>
      </c>
      <c r="P82">
        <v>42709.677419354834</v>
      </c>
      <c r="Q82">
        <v>39509.677419354834</v>
      </c>
    </row>
    <row r="83" spans="1:17" x14ac:dyDescent="0.3">
      <c r="A83" t="s">
        <v>29</v>
      </c>
      <c r="B83" t="s">
        <v>30</v>
      </c>
      <c r="C83" t="s">
        <v>46</v>
      </c>
      <c r="D83" t="s">
        <v>31</v>
      </c>
      <c r="E83">
        <v>23</v>
      </c>
      <c r="F83">
        <v>1</v>
      </c>
      <c r="G83">
        <v>2</v>
      </c>
      <c r="H83">
        <v>2</v>
      </c>
      <c r="I83">
        <v>5</v>
      </c>
      <c r="J83">
        <v>31</v>
      </c>
      <c r="K83">
        <v>30</v>
      </c>
      <c r="L83">
        <v>25000</v>
      </c>
      <c r="M83">
        <v>806.45161290322585</v>
      </c>
      <c r="N83">
        <v>2500</v>
      </c>
      <c r="O83">
        <v>2000</v>
      </c>
      <c r="P83">
        <v>26693.548387096776</v>
      </c>
      <c r="Q83">
        <v>24693.548387096776</v>
      </c>
    </row>
    <row r="84" spans="1:17" x14ac:dyDescent="0.3">
      <c r="A84" t="s">
        <v>32</v>
      </c>
      <c r="B84" t="s">
        <v>33</v>
      </c>
      <c r="C84" t="s">
        <v>46</v>
      </c>
      <c r="D84" t="s">
        <v>31</v>
      </c>
      <c r="E84">
        <v>23</v>
      </c>
      <c r="F84">
        <v>1</v>
      </c>
      <c r="G84">
        <v>2</v>
      </c>
      <c r="H84">
        <v>2</v>
      </c>
      <c r="I84">
        <v>5</v>
      </c>
      <c r="J84">
        <v>31</v>
      </c>
      <c r="K84">
        <v>30</v>
      </c>
      <c r="L84">
        <v>25000</v>
      </c>
      <c r="M84">
        <v>806.45161290322585</v>
      </c>
      <c r="N84">
        <v>2500</v>
      </c>
      <c r="O84">
        <v>2000</v>
      </c>
      <c r="P84">
        <v>26693.548387096776</v>
      </c>
      <c r="Q84">
        <v>24693.548387096776</v>
      </c>
    </row>
    <row r="85" spans="1:17" x14ac:dyDescent="0.3">
      <c r="A85" t="s">
        <v>34</v>
      </c>
      <c r="B85" t="s">
        <v>35</v>
      </c>
      <c r="C85" t="s">
        <v>46</v>
      </c>
      <c r="D85" t="s">
        <v>36</v>
      </c>
      <c r="E85">
        <v>23</v>
      </c>
      <c r="F85">
        <v>1</v>
      </c>
      <c r="G85">
        <v>2</v>
      </c>
      <c r="H85">
        <v>2</v>
      </c>
      <c r="I85">
        <v>5</v>
      </c>
      <c r="J85">
        <v>31</v>
      </c>
      <c r="K85">
        <v>30</v>
      </c>
      <c r="L85">
        <v>30000</v>
      </c>
      <c r="M85">
        <v>967.74193548387098</v>
      </c>
      <c r="N85">
        <v>3000</v>
      </c>
      <c r="O85">
        <v>2400</v>
      </c>
      <c r="P85">
        <v>32032.258064516129</v>
      </c>
      <c r="Q85">
        <v>29632.258064516129</v>
      </c>
    </row>
    <row r="86" spans="1:17" x14ac:dyDescent="0.3">
      <c r="A86" t="s">
        <v>37</v>
      </c>
      <c r="B86" t="s">
        <v>38</v>
      </c>
      <c r="C86" t="s">
        <v>46</v>
      </c>
      <c r="D86" t="s">
        <v>20</v>
      </c>
      <c r="E86">
        <v>23</v>
      </c>
      <c r="F86">
        <v>1</v>
      </c>
      <c r="G86">
        <v>2</v>
      </c>
      <c r="H86">
        <v>2</v>
      </c>
      <c r="I86">
        <v>5</v>
      </c>
      <c r="J86">
        <v>31</v>
      </c>
      <c r="K86">
        <v>30</v>
      </c>
      <c r="L86">
        <v>70000</v>
      </c>
      <c r="M86">
        <v>2258.0645161290322</v>
      </c>
      <c r="N86">
        <v>7000</v>
      </c>
      <c r="O86">
        <v>5600</v>
      </c>
      <c r="P86">
        <v>74741.93548387097</v>
      </c>
      <c r="Q86">
        <v>69141.93548387097</v>
      </c>
    </row>
    <row r="87" spans="1:17" x14ac:dyDescent="0.3">
      <c r="A87" t="s">
        <v>39</v>
      </c>
      <c r="B87" t="s">
        <v>40</v>
      </c>
      <c r="C87" t="s">
        <v>46</v>
      </c>
      <c r="D87" t="s">
        <v>26</v>
      </c>
      <c r="E87">
        <v>23</v>
      </c>
      <c r="F87">
        <v>1</v>
      </c>
      <c r="G87">
        <v>2</v>
      </c>
      <c r="H87">
        <v>2</v>
      </c>
      <c r="I87">
        <v>5</v>
      </c>
      <c r="J87">
        <v>31</v>
      </c>
      <c r="K87">
        <v>30</v>
      </c>
      <c r="L87">
        <v>50000</v>
      </c>
      <c r="M87">
        <v>1612.9032258064517</v>
      </c>
      <c r="N87">
        <v>5000</v>
      </c>
      <c r="O87">
        <v>4000</v>
      </c>
      <c r="P87">
        <v>53387.096774193553</v>
      </c>
      <c r="Q87">
        <v>49387.096774193553</v>
      </c>
    </row>
    <row r="88" spans="1:17" x14ac:dyDescent="0.3">
      <c r="A88" t="s">
        <v>41</v>
      </c>
      <c r="B88" t="s">
        <v>42</v>
      </c>
      <c r="C88" t="s">
        <v>46</v>
      </c>
      <c r="D88" t="s">
        <v>43</v>
      </c>
      <c r="E88">
        <v>23</v>
      </c>
      <c r="F88">
        <v>1</v>
      </c>
      <c r="G88">
        <v>2</v>
      </c>
      <c r="H88">
        <v>2</v>
      </c>
      <c r="I88">
        <v>5</v>
      </c>
      <c r="J88">
        <v>31</v>
      </c>
      <c r="K88">
        <v>30</v>
      </c>
      <c r="L88">
        <v>12000</v>
      </c>
      <c r="M88">
        <v>387.09677419354841</v>
      </c>
      <c r="N88">
        <v>1200</v>
      </c>
      <c r="O88">
        <v>960</v>
      </c>
      <c r="P88">
        <v>12812.903225806453</v>
      </c>
      <c r="Q88">
        <v>11852.903225806453</v>
      </c>
    </row>
    <row r="89" spans="1:17" x14ac:dyDescent="0.3">
      <c r="A89" t="s">
        <v>44</v>
      </c>
      <c r="B89" t="s">
        <v>45</v>
      </c>
      <c r="C89" t="s">
        <v>46</v>
      </c>
      <c r="D89" t="s">
        <v>43</v>
      </c>
      <c r="E89">
        <v>23</v>
      </c>
      <c r="F89">
        <v>1</v>
      </c>
      <c r="G89">
        <v>2</v>
      </c>
      <c r="H89">
        <v>2</v>
      </c>
      <c r="I89">
        <v>5</v>
      </c>
      <c r="J89">
        <v>31</v>
      </c>
      <c r="K89">
        <v>30</v>
      </c>
      <c r="L89">
        <v>12000</v>
      </c>
      <c r="M89">
        <v>387.09677419354841</v>
      </c>
      <c r="N89">
        <v>1200</v>
      </c>
      <c r="O89">
        <v>960</v>
      </c>
      <c r="P89">
        <v>12812.903225806453</v>
      </c>
      <c r="Q89">
        <v>11852.903225806453</v>
      </c>
    </row>
    <row r="90" spans="1:17" x14ac:dyDescent="0.3">
      <c r="A90" t="s">
        <v>17</v>
      </c>
      <c r="B90" t="s">
        <v>18</v>
      </c>
      <c r="C90" t="s">
        <v>47</v>
      </c>
      <c r="D90" t="s">
        <v>20</v>
      </c>
      <c r="E90">
        <v>24</v>
      </c>
      <c r="F90">
        <v>1</v>
      </c>
      <c r="G90">
        <v>1</v>
      </c>
      <c r="H90">
        <v>1</v>
      </c>
      <c r="I90">
        <v>4</v>
      </c>
      <c r="J90">
        <v>30</v>
      </c>
      <c r="K90">
        <v>29</v>
      </c>
      <c r="L90">
        <v>70000</v>
      </c>
      <c r="M90">
        <v>2333.3333333333335</v>
      </c>
      <c r="N90">
        <v>7000</v>
      </c>
      <c r="O90">
        <v>5600</v>
      </c>
      <c r="P90">
        <v>74666.666666666672</v>
      </c>
      <c r="Q90">
        <v>69066.666666666672</v>
      </c>
    </row>
    <row r="91" spans="1:17" x14ac:dyDescent="0.3">
      <c r="A91" t="s">
        <v>21</v>
      </c>
      <c r="B91" t="s">
        <v>22</v>
      </c>
      <c r="C91" t="s">
        <v>47</v>
      </c>
      <c r="D91" t="s">
        <v>23</v>
      </c>
      <c r="E91">
        <v>25</v>
      </c>
      <c r="F91">
        <v>0</v>
      </c>
      <c r="G91">
        <v>1</v>
      </c>
      <c r="H91">
        <v>1</v>
      </c>
      <c r="I91">
        <v>4</v>
      </c>
      <c r="J91">
        <v>30</v>
      </c>
      <c r="K91">
        <v>30</v>
      </c>
      <c r="L91">
        <v>40000</v>
      </c>
      <c r="M91">
        <v>1333.3333333333333</v>
      </c>
      <c r="N91">
        <v>4000</v>
      </c>
      <c r="O91">
        <v>3200</v>
      </c>
      <c r="P91">
        <v>44000</v>
      </c>
      <c r="Q91">
        <v>40800</v>
      </c>
    </row>
    <row r="92" spans="1:17" x14ac:dyDescent="0.3">
      <c r="A92" t="s">
        <v>24</v>
      </c>
      <c r="B92" t="s">
        <v>25</v>
      </c>
      <c r="C92" t="s">
        <v>47</v>
      </c>
      <c r="D92" t="s">
        <v>26</v>
      </c>
      <c r="E92">
        <v>24</v>
      </c>
      <c r="F92">
        <v>1</v>
      </c>
      <c r="G92">
        <v>1</v>
      </c>
      <c r="H92">
        <v>1</v>
      </c>
      <c r="I92">
        <v>4</v>
      </c>
      <c r="J92">
        <v>30</v>
      </c>
      <c r="K92">
        <v>29</v>
      </c>
      <c r="L92">
        <v>50000</v>
      </c>
      <c r="M92">
        <v>1666.6666666666667</v>
      </c>
      <c r="N92">
        <v>5000</v>
      </c>
      <c r="O92">
        <v>4000</v>
      </c>
      <c r="P92">
        <v>53333.333333333336</v>
      </c>
      <c r="Q92">
        <v>49333.333333333336</v>
      </c>
    </row>
    <row r="93" spans="1:17" x14ac:dyDescent="0.3">
      <c r="A93" t="s">
        <v>27</v>
      </c>
      <c r="B93" t="s">
        <v>28</v>
      </c>
      <c r="C93" t="s">
        <v>47</v>
      </c>
      <c r="D93" t="s">
        <v>23</v>
      </c>
      <c r="E93">
        <v>25</v>
      </c>
      <c r="F93">
        <v>0</v>
      </c>
      <c r="G93">
        <v>1</v>
      </c>
      <c r="H93">
        <v>1</v>
      </c>
      <c r="I93">
        <v>4</v>
      </c>
      <c r="J93">
        <v>30</v>
      </c>
      <c r="K93">
        <v>30</v>
      </c>
      <c r="L93">
        <v>40000</v>
      </c>
      <c r="M93">
        <v>1333.3333333333333</v>
      </c>
      <c r="N93">
        <v>4000</v>
      </c>
      <c r="O93">
        <v>3200</v>
      </c>
      <c r="P93">
        <v>44000</v>
      </c>
      <c r="Q93">
        <v>40800</v>
      </c>
    </row>
    <row r="94" spans="1:17" x14ac:dyDescent="0.3">
      <c r="A94" t="s">
        <v>29</v>
      </c>
      <c r="B94" t="s">
        <v>30</v>
      </c>
      <c r="C94" t="s">
        <v>47</v>
      </c>
      <c r="D94" t="s">
        <v>31</v>
      </c>
      <c r="E94">
        <v>24</v>
      </c>
      <c r="F94">
        <v>1</v>
      </c>
      <c r="G94">
        <v>1</v>
      </c>
      <c r="H94">
        <v>1</v>
      </c>
      <c r="I94">
        <v>4</v>
      </c>
      <c r="J94">
        <v>30</v>
      </c>
      <c r="K94">
        <v>29</v>
      </c>
      <c r="L94">
        <v>25000</v>
      </c>
      <c r="M94">
        <v>833.33333333333337</v>
      </c>
      <c r="N94">
        <v>2500</v>
      </c>
      <c r="O94">
        <v>2000</v>
      </c>
      <c r="P94">
        <v>26666.666666666668</v>
      </c>
      <c r="Q94">
        <v>24666.666666666668</v>
      </c>
    </row>
    <row r="95" spans="1:17" x14ac:dyDescent="0.3">
      <c r="A95" t="s">
        <v>32</v>
      </c>
      <c r="B95" t="s">
        <v>33</v>
      </c>
      <c r="C95" t="s">
        <v>47</v>
      </c>
      <c r="D95" t="s">
        <v>31</v>
      </c>
      <c r="E95">
        <v>24</v>
      </c>
      <c r="F95">
        <v>1</v>
      </c>
      <c r="G95">
        <v>1</v>
      </c>
      <c r="H95">
        <v>1</v>
      </c>
      <c r="I95">
        <v>4</v>
      </c>
      <c r="J95">
        <v>30</v>
      </c>
      <c r="K95">
        <v>29</v>
      </c>
      <c r="L95">
        <v>25000</v>
      </c>
      <c r="M95">
        <v>833.33333333333337</v>
      </c>
      <c r="N95">
        <v>2500</v>
      </c>
      <c r="O95">
        <v>2000</v>
      </c>
      <c r="P95">
        <v>26666.666666666668</v>
      </c>
      <c r="Q95">
        <v>24666.666666666668</v>
      </c>
    </row>
    <row r="96" spans="1:17" x14ac:dyDescent="0.3">
      <c r="A96" t="s">
        <v>34</v>
      </c>
      <c r="B96" t="s">
        <v>35</v>
      </c>
      <c r="C96" t="s">
        <v>47</v>
      </c>
      <c r="D96" t="s">
        <v>36</v>
      </c>
      <c r="E96">
        <v>24</v>
      </c>
      <c r="F96">
        <v>1</v>
      </c>
      <c r="G96">
        <v>1</v>
      </c>
      <c r="H96">
        <v>1</v>
      </c>
      <c r="I96">
        <v>4</v>
      </c>
      <c r="J96">
        <v>30</v>
      </c>
      <c r="K96">
        <v>29</v>
      </c>
      <c r="L96">
        <v>30000</v>
      </c>
      <c r="M96">
        <v>1000</v>
      </c>
      <c r="N96">
        <v>3000</v>
      </c>
      <c r="O96">
        <v>2400</v>
      </c>
      <c r="P96">
        <v>32000</v>
      </c>
      <c r="Q96">
        <v>29600</v>
      </c>
    </row>
    <row r="97" spans="1:17" x14ac:dyDescent="0.3">
      <c r="A97" t="s">
        <v>37</v>
      </c>
      <c r="B97" t="s">
        <v>38</v>
      </c>
      <c r="C97" t="s">
        <v>47</v>
      </c>
      <c r="D97" t="s">
        <v>20</v>
      </c>
      <c r="E97">
        <v>23</v>
      </c>
      <c r="F97">
        <v>2</v>
      </c>
      <c r="G97">
        <v>1</v>
      </c>
      <c r="H97">
        <v>1</v>
      </c>
      <c r="I97">
        <v>4</v>
      </c>
      <c r="J97">
        <v>30</v>
      </c>
      <c r="K97">
        <v>28</v>
      </c>
      <c r="L97">
        <v>70000</v>
      </c>
      <c r="M97">
        <v>2333.3333333333335</v>
      </c>
      <c r="N97">
        <v>7000</v>
      </c>
      <c r="O97">
        <v>5600</v>
      </c>
      <c r="P97">
        <v>72333.333333333343</v>
      </c>
      <c r="Q97">
        <v>66733.333333333343</v>
      </c>
    </row>
    <row r="98" spans="1:17" x14ac:dyDescent="0.3">
      <c r="A98" t="s">
        <v>39</v>
      </c>
      <c r="B98" t="s">
        <v>40</v>
      </c>
      <c r="C98" t="s">
        <v>47</v>
      </c>
      <c r="D98" t="s">
        <v>26</v>
      </c>
      <c r="E98">
        <v>25</v>
      </c>
      <c r="F98">
        <v>0</v>
      </c>
      <c r="G98">
        <v>1</v>
      </c>
      <c r="H98">
        <v>1</v>
      </c>
      <c r="I98">
        <v>4</v>
      </c>
      <c r="J98">
        <v>30</v>
      </c>
      <c r="K98">
        <v>30</v>
      </c>
      <c r="L98">
        <v>50000</v>
      </c>
      <c r="M98">
        <v>1666.6666666666667</v>
      </c>
      <c r="N98">
        <v>5000</v>
      </c>
      <c r="O98">
        <v>4000</v>
      </c>
      <c r="P98">
        <v>55000</v>
      </c>
      <c r="Q98">
        <v>51000</v>
      </c>
    </row>
    <row r="99" spans="1:17" x14ac:dyDescent="0.3">
      <c r="A99" t="s">
        <v>41</v>
      </c>
      <c r="B99" t="s">
        <v>42</v>
      </c>
      <c r="C99" t="s">
        <v>47</v>
      </c>
      <c r="D99" t="s">
        <v>43</v>
      </c>
      <c r="E99">
        <v>24</v>
      </c>
      <c r="F99">
        <v>1</v>
      </c>
      <c r="G99">
        <v>1</v>
      </c>
      <c r="H99">
        <v>1</v>
      </c>
      <c r="I99">
        <v>4</v>
      </c>
      <c r="J99">
        <v>30</v>
      </c>
      <c r="K99">
        <v>29</v>
      </c>
      <c r="L99">
        <v>12000</v>
      </c>
      <c r="M99">
        <v>400</v>
      </c>
      <c r="N99">
        <v>1200</v>
      </c>
      <c r="O99">
        <v>960</v>
      </c>
      <c r="P99">
        <v>12800</v>
      </c>
      <c r="Q99">
        <v>11840</v>
      </c>
    </row>
    <row r="100" spans="1:17" x14ac:dyDescent="0.3">
      <c r="A100" t="s">
        <v>44</v>
      </c>
      <c r="B100" t="s">
        <v>45</v>
      </c>
      <c r="C100" t="s">
        <v>47</v>
      </c>
      <c r="D100" t="s">
        <v>43</v>
      </c>
      <c r="E100">
        <v>24</v>
      </c>
      <c r="F100">
        <v>1</v>
      </c>
      <c r="G100">
        <v>1</v>
      </c>
      <c r="H100">
        <v>1</v>
      </c>
      <c r="I100">
        <v>4</v>
      </c>
      <c r="J100">
        <v>30</v>
      </c>
      <c r="K100">
        <v>29</v>
      </c>
      <c r="L100">
        <v>12000</v>
      </c>
      <c r="M100">
        <v>400</v>
      </c>
      <c r="N100">
        <v>1200</v>
      </c>
      <c r="O100">
        <v>960</v>
      </c>
      <c r="P100">
        <v>12800</v>
      </c>
      <c r="Q100">
        <v>11840</v>
      </c>
    </row>
    <row r="101" spans="1:17" x14ac:dyDescent="0.3">
      <c r="A101" t="s">
        <v>17</v>
      </c>
      <c r="B101" t="s">
        <v>18</v>
      </c>
      <c r="C101" t="s">
        <v>48</v>
      </c>
      <c r="D101" t="s">
        <v>20</v>
      </c>
      <c r="E101">
        <v>22</v>
      </c>
      <c r="F101">
        <v>1</v>
      </c>
      <c r="G101">
        <v>4</v>
      </c>
      <c r="H101">
        <v>2</v>
      </c>
      <c r="I101">
        <v>4</v>
      </c>
      <c r="J101">
        <v>31</v>
      </c>
      <c r="K101">
        <v>30</v>
      </c>
      <c r="L101">
        <v>70000</v>
      </c>
      <c r="M101">
        <v>2258.0645161290322</v>
      </c>
      <c r="N101">
        <v>7000</v>
      </c>
      <c r="O101">
        <v>5600</v>
      </c>
      <c r="P101">
        <v>74741.93548387097</v>
      </c>
      <c r="Q101">
        <v>69141.93548387097</v>
      </c>
    </row>
    <row r="102" spans="1:17" x14ac:dyDescent="0.3">
      <c r="A102" t="s">
        <v>21</v>
      </c>
      <c r="B102" t="s">
        <v>22</v>
      </c>
      <c r="C102" t="s">
        <v>48</v>
      </c>
      <c r="D102" t="s">
        <v>23</v>
      </c>
      <c r="E102">
        <v>23</v>
      </c>
      <c r="F102">
        <v>0</v>
      </c>
      <c r="G102">
        <v>4</v>
      </c>
      <c r="H102">
        <v>2</v>
      </c>
      <c r="I102">
        <v>4</v>
      </c>
      <c r="J102">
        <v>31</v>
      </c>
      <c r="K102">
        <v>31</v>
      </c>
      <c r="L102">
        <v>40000</v>
      </c>
      <c r="M102">
        <v>1290.3225806451612</v>
      </c>
      <c r="N102">
        <v>4000</v>
      </c>
      <c r="O102">
        <v>3200</v>
      </c>
      <c r="P102">
        <v>44000</v>
      </c>
      <c r="Q102">
        <v>40800</v>
      </c>
    </row>
    <row r="103" spans="1:17" x14ac:dyDescent="0.3">
      <c r="A103" t="s">
        <v>24</v>
      </c>
      <c r="B103" t="s">
        <v>25</v>
      </c>
      <c r="C103" t="s">
        <v>48</v>
      </c>
      <c r="D103" t="s">
        <v>26</v>
      </c>
      <c r="E103">
        <v>21</v>
      </c>
      <c r="F103">
        <v>2</v>
      </c>
      <c r="G103">
        <v>4</v>
      </c>
      <c r="H103">
        <v>2</v>
      </c>
      <c r="I103">
        <v>4</v>
      </c>
      <c r="J103">
        <v>31</v>
      </c>
      <c r="K103">
        <v>29</v>
      </c>
      <c r="L103">
        <v>50000</v>
      </c>
      <c r="M103">
        <v>1612.9032258064517</v>
      </c>
      <c r="N103">
        <v>5000</v>
      </c>
      <c r="O103">
        <v>4000</v>
      </c>
      <c r="P103">
        <v>51774.193548387098</v>
      </c>
      <c r="Q103">
        <v>47774.193548387098</v>
      </c>
    </row>
    <row r="104" spans="1:17" x14ac:dyDescent="0.3">
      <c r="A104" t="s">
        <v>27</v>
      </c>
      <c r="B104" t="s">
        <v>28</v>
      </c>
      <c r="C104" t="s">
        <v>48</v>
      </c>
      <c r="D104" t="s">
        <v>23</v>
      </c>
      <c r="E104">
        <v>23</v>
      </c>
      <c r="F104">
        <v>0</v>
      </c>
      <c r="G104">
        <v>4</v>
      </c>
      <c r="H104">
        <v>2</v>
      </c>
      <c r="I104">
        <v>4</v>
      </c>
      <c r="J104">
        <v>31</v>
      </c>
      <c r="K104">
        <v>31</v>
      </c>
      <c r="L104">
        <v>40000</v>
      </c>
      <c r="M104">
        <v>1290.3225806451612</v>
      </c>
      <c r="N104">
        <v>4000</v>
      </c>
      <c r="O104">
        <v>3200</v>
      </c>
      <c r="P104">
        <v>44000</v>
      </c>
      <c r="Q104">
        <v>40800</v>
      </c>
    </row>
    <row r="105" spans="1:17" x14ac:dyDescent="0.3">
      <c r="A105" t="s">
        <v>29</v>
      </c>
      <c r="B105" t="s">
        <v>30</v>
      </c>
      <c r="C105" t="s">
        <v>48</v>
      </c>
      <c r="D105" t="s">
        <v>31</v>
      </c>
      <c r="E105">
        <v>22</v>
      </c>
      <c r="F105">
        <v>1</v>
      </c>
      <c r="G105">
        <v>4</v>
      </c>
      <c r="H105">
        <v>2</v>
      </c>
      <c r="I105">
        <v>4</v>
      </c>
      <c r="J105">
        <v>31</v>
      </c>
      <c r="K105">
        <v>30</v>
      </c>
      <c r="L105">
        <v>25000</v>
      </c>
      <c r="M105">
        <v>806.45161290322585</v>
      </c>
      <c r="N105">
        <v>2500</v>
      </c>
      <c r="O105">
        <v>2000</v>
      </c>
      <c r="P105">
        <v>26693.548387096776</v>
      </c>
      <c r="Q105">
        <v>24693.548387096776</v>
      </c>
    </row>
    <row r="106" spans="1:17" x14ac:dyDescent="0.3">
      <c r="A106" t="s">
        <v>32</v>
      </c>
      <c r="B106" t="s">
        <v>33</v>
      </c>
      <c r="C106" t="s">
        <v>48</v>
      </c>
      <c r="D106" t="s">
        <v>31</v>
      </c>
      <c r="E106">
        <v>22</v>
      </c>
      <c r="F106">
        <v>1</v>
      </c>
      <c r="G106">
        <v>4</v>
      </c>
      <c r="H106">
        <v>2</v>
      </c>
      <c r="I106">
        <v>4</v>
      </c>
      <c r="J106">
        <v>31</v>
      </c>
      <c r="K106">
        <v>30</v>
      </c>
      <c r="L106">
        <v>25000</v>
      </c>
      <c r="M106">
        <v>806.45161290322585</v>
      </c>
      <c r="N106">
        <v>2500</v>
      </c>
      <c r="O106">
        <v>2000</v>
      </c>
      <c r="P106">
        <v>26693.548387096776</v>
      </c>
      <c r="Q106">
        <v>24693.548387096776</v>
      </c>
    </row>
    <row r="107" spans="1:17" x14ac:dyDescent="0.3">
      <c r="A107" t="s">
        <v>34</v>
      </c>
      <c r="B107" t="s">
        <v>35</v>
      </c>
      <c r="C107" t="s">
        <v>48</v>
      </c>
      <c r="D107" t="s">
        <v>36</v>
      </c>
      <c r="E107">
        <v>22</v>
      </c>
      <c r="F107">
        <v>1</v>
      </c>
      <c r="G107">
        <v>4</v>
      </c>
      <c r="H107">
        <v>2</v>
      </c>
      <c r="I107">
        <v>4</v>
      </c>
      <c r="J107">
        <v>31</v>
      </c>
      <c r="K107">
        <v>30</v>
      </c>
      <c r="L107">
        <v>30000</v>
      </c>
      <c r="M107">
        <v>967.74193548387098</v>
      </c>
      <c r="N107">
        <v>3000</v>
      </c>
      <c r="O107">
        <v>2400</v>
      </c>
      <c r="P107">
        <v>32032.258064516129</v>
      </c>
      <c r="Q107">
        <v>29632.258064516129</v>
      </c>
    </row>
    <row r="108" spans="1:17" x14ac:dyDescent="0.3">
      <c r="A108" t="s">
        <v>37</v>
      </c>
      <c r="B108" t="s">
        <v>38</v>
      </c>
      <c r="C108" t="s">
        <v>48</v>
      </c>
      <c r="D108" t="s">
        <v>20</v>
      </c>
      <c r="E108">
        <v>23</v>
      </c>
      <c r="F108">
        <v>0</v>
      </c>
      <c r="G108">
        <v>4</v>
      </c>
      <c r="H108">
        <v>2</v>
      </c>
      <c r="I108">
        <v>4</v>
      </c>
      <c r="J108">
        <v>31</v>
      </c>
      <c r="K108">
        <v>31</v>
      </c>
      <c r="L108">
        <v>70000</v>
      </c>
      <c r="M108">
        <v>2258.0645161290322</v>
      </c>
      <c r="N108">
        <v>7000</v>
      </c>
      <c r="O108">
        <v>5600</v>
      </c>
      <c r="P108">
        <v>77000</v>
      </c>
      <c r="Q108">
        <v>71400</v>
      </c>
    </row>
    <row r="109" spans="1:17" x14ac:dyDescent="0.3">
      <c r="A109" t="s">
        <v>39</v>
      </c>
      <c r="B109" t="s">
        <v>40</v>
      </c>
      <c r="C109" t="s">
        <v>48</v>
      </c>
      <c r="D109" t="s">
        <v>26</v>
      </c>
      <c r="E109">
        <v>22</v>
      </c>
      <c r="F109">
        <v>1</v>
      </c>
      <c r="G109">
        <v>4</v>
      </c>
      <c r="H109">
        <v>2</v>
      </c>
      <c r="I109">
        <v>4</v>
      </c>
      <c r="J109">
        <v>31</v>
      </c>
      <c r="K109">
        <v>30</v>
      </c>
      <c r="L109">
        <v>50000</v>
      </c>
      <c r="M109">
        <v>1612.9032258064517</v>
      </c>
      <c r="N109">
        <v>5000</v>
      </c>
      <c r="O109">
        <v>4000</v>
      </c>
      <c r="P109">
        <v>53387.096774193553</v>
      </c>
      <c r="Q109">
        <v>49387.096774193553</v>
      </c>
    </row>
    <row r="110" spans="1:17" x14ac:dyDescent="0.3">
      <c r="A110" t="s">
        <v>41</v>
      </c>
      <c r="B110" t="s">
        <v>42</v>
      </c>
      <c r="C110" t="s">
        <v>48</v>
      </c>
      <c r="D110" t="s">
        <v>43</v>
      </c>
      <c r="E110">
        <v>22</v>
      </c>
      <c r="F110">
        <v>1</v>
      </c>
      <c r="G110">
        <v>4</v>
      </c>
      <c r="H110">
        <v>2</v>
      </c>
      <c r="I110">
        <v>4</v>
      </c>
      <c r="J110">
        <v>31</v>
      </c>
      <c r="K110">
        <v>30</v>
      </c>
      <c r="L110">
        <v>12000</v>
      </c>
      <c r="M110">
        <v>387.09677419354841</v>
      </c>
      <c r="N110">
        <v>1200</v>
      </c>
      <c r="O110">
        <v>960</v>
      </c>
      <c r="P110">
        <v>12812.903225806453</v>
      </c>
      <c r="Q110">
        <v>11852.903225806453</v>
      </c>
    </row>
    <row r="111" spans="1:17" x14ac:dyDescent="0.3">
      <c r="A111" t="s">
        <v>44</v>
      </c>
      <c r="B111" t="s">
        <v>45</v>
      </c>
      <c r="C111" t="s">
        <v>48</v>
      </c>
      <c r="D111" t="s">
        <v>43</v>
      </c>
      <c r="E111">
        <v>22</v>
      </c>
      <c r="F111">
        <v>1</v>
      </c>
      <c r="G111">
        <v>4</v>
      </c>
      <c r="H111">
        <v>2</v>
      </c>
      <c r="I111">
        <v>4</v>
      </c>
      <c r="J111">
        <v>31</v>
      </c>
      <c r="K111">
        <v>30</v>
      </c>
      <c r="L111">
        <v>12000</v>
      </c>
      <c r="M111">
        <v>387.09677419354841</v>
      </c>
      <c r="N111">
        <v>1200</v>
      </c>
      <c r="O111">
        <v>960</v>
      </c>
      <c r="P111">
        <v>12812.903225806453</v>
      </c>
      <c r="Q111">
        <v>11852.903225806453</v>
      </c>
    </row>
    <row r="112" spans="1:17" x14ac:dyDescent="0.3">
      <c r="A112" t="s">
        <v>17</v>
      </c>
      <c r="B112" t="s">
        <v>18</v>
      </c>
      <c r="C112" t="s">
        <v>49</v>
      </c>
      <c r="D112" t="s">
        <v>20</v>
      </c>
      <c r="E112">
        <v>22</v>
      </c>
      <c r="F112">
        <v>1</v>
      </c>
      <c r="G112">
        <v>2</v>
      </c>
      <c r="H112">
        <v>2</v>
      </c>
      <c r="I112">
        <v>5</v>
      </c>
      <c r="J112">
        <v>30</v>
      </c>
      <c r="K112">
        <v>29</v>
      </c>
      <c r="L112">
        <v>70000</v>
      </c>
      <c r="M112">
        <v>2333.3333333333335</v>
      </c>
      <c r="N112">
        <v>7000</v>
      </c>
      <c r="O112">
        <v>5600</v>
      </c>
      <c r="P112">
        <v>74666.666666666672</v>
      </c>
      <c r="Q112">
        <v>69066.666666666672</v>
      </c>
    </row>
    <row r="113" spans="1:17" x14ac:dyDescent="0.3">
      <c r="A113" t="s">
        <v>21</v>
      </c>
      <c r="B113" t="s">
        <v>22</v>
      </c>
      <c r="C113" t="s">
        <v>49</v>
      </c>
      <c r="D113" t="s">
        <v>23</v>
      </c>
      <c r="E113">
        <v>22</v>
      </c>
      <c r="F113">
        <v>1</v>
      </c>
      <c r="G113">
        <v>2</v>
      </c>
      <c r="H113">
        <v>2</v>
      </c>
      <c r="I113">
        <v>5</v>
      </c>
      <c r="J113">
        <v>30</v>
      </c>
      <c r="K113">
        <v>29</v>
      </c>
      <c r="L113">
        <v>40000</v>
      </c>
      <c r="M113">
        <v>1333.3333333333333</v>
      </c>
      <c r="N113">
        <v>4000</v>
      </c>
      <c r="O113">
        <v>3200</v>
      </c>
      <c r="P113">
        <v>42666.666666666664</v>
      </c>
      <c r="Q113">
        <v>39466.666666666664</v>
      </c>
    </row>
    <row r="114" spans="1:17" x14ac:dyDescent="0.3">
      <c r="A114" t="s">
        <v>24</v>
      </c>
      <c r="B114" t="s">
        <v>25</v>
      </c>
      <c r="C114" t="s">
        <v>49</v>
      </c>
      <c r="D114" t="s">
        <v>26</v>
      </c>
      <c r="E114">
        <v>22</v>
      </c>
      <c r="F114">
        <v>1</v>
      </c>
      <c r="G114">
        <v>2</v>
      </c>
      <c r="H114">
        <v>2</v>
      </c>
      <c r="I114">
        <v>5</v>
      </c>
      <c r="J114">
        <v>30</v>
      </c>
      <c r="K114">
        <v>29</v>
      </c>
      <c r="L114">
        <v>50000</v>
      </c>
      <c r="M114">
        <v>1666.6666666666667</v>
      </c>
      <c r="N114">
        <v>5000</v>
      </c>
      <c r="O114">
        <v>4000</v>
      </c>
      <c r="P114">
        <v>53333.333333333336</v>
      </c>
      <c r="Q114">
        <v>49333.333333333336</v>
      </c>
    </row>
    <row r="115" spans="1:17" x14ac:dyDescent="0.3">
      <c r="A115" t="s">
        <v>27</v>
      </c>
      <c r="B115" t="s">
        <v>28</v>
      </c>
      <c r="C115" t="s">
        <v>49</v>
      </c>
      <c r="D115" t="s">
        <v>23</v>
      </c>
      <c r="E115">
        <v>22</v>
      </c>
      <c r="F115">
        <v>1</v>
      </c>
      <c r="G115">
        <v>2</v>
      </c>
      <c r="H115">
        <v>2</v>
      </c>
      <c r="I115">
        <v>5</v>
      </c>
      <c r="J115">
        <v>30</v>
      </c>
      <c r="K115">
        <v>29</v>
      </c>
      <c r="L115">
        <v>40000</v>
      </c>
      <c r="M115">
        <v>1333.3333333333333</v>
      </c>
      <c r="N115">
        <v>4000</v>
      </c>
      <c r="O115">
        <v>3200</v>
      </c>
      <c r="P115">
        <v>42666.666666666664</v>
      </c>
      <c r="Q115">
        <v>39466.666666666664</v>
      </c>
    </row>
    <row r="116" spans="1:17" x14ac:dyDescent="0.3">
      <c r="A116" t="s">
        <v>29</v>
      </c>
      <c r="B116" t="s">
        <v>30</v>
      </c>
      <c r="C116" t="s">
        <v>49</v>
      </c>
      <c r="D116" t="s">
        <v>31</v>
      </c>
      <c r="E116">
        <v>22</v>
      </c>
      <c r="F116">
        <v>1</v>
      </c>
      <c r="G116">
        <v>2</v>
      </c>
      <c r="H116">
        <v>2</v>
      </c>
      <c r="I116">
        <v>5</v>
      </c>
      <c r="J116">
        <v>30</v>
      </c>
      <c r="K116">
        <v>29</v>
      </c>
      <c r="L116">
        <v>25000</v>
      </c>
      <c r="M116">
        <v>833.33333333333337</v>
      </c>
      <c r="N116">
        <v>2500</v>
      </c>
      <c r="O116">
        <v>2000</v>
      </c>
      <c r="P116">
        <v>26666.666666666668</v>
      </c>
      <c r="Q116">
        <v>24666.666666666668</v>
      </c>
    </row>
    <row r="117" spans="1:17" x14ac:dyDescent="0.3">
      <c r="A117" t="s">
        <v>32</v>
      </c>
      <c r="B117" t="s">
        <v>33</v>
      </c>
      <c r="C117" t="s">
        <v>49</v>
      </c>
      <c r="D117" t="s">
        <v>31</v>
      </c>
      <c r="E117">
        <v>22</v>
      </c>
      <c r="F117">
        <v>1</v>
      </c>
      <c r="G117">
        <v>2</v>
      </c>
      <c r="H117">
        <v>2</v>
      </c>
      <c r="I117">
        <v>5</v>
      </c>
      <c r="J117">
        <v>30</v>
      </c>
      <c r="K117">
        <v>29</v>
      </c>
      <c r="L117">
        <v>25000</v>
      </c>
      <c r="M117">
        <v>833.33333333333337</v>
      </c>
      <c r="N117">
        <v>2500</v>
      </c>
      <c r="O117">
        <v>2000</v>
      </c>
      <c r="P117">
        <v>26666.666666666668</v>
      </c>
      <c r="Q117">
        <v>24666.666666666668</v>
      </c>
    </row>
    <row r="118" spans="1:17" x14ac:dyDescent="0.3">
      <c r="A118" t="s">
        <v>34</v>
      </c>
      <c r="B118" t="s">
        <v>35</v>
      </c>
      <c r="C118" t="s">
        <v>49</v>
      </c>
      <c r="D118" t="s">
        <v>36</v>
      </c>
      <c r="E118">
        <v>21</v>
      </c>
      <c r="F118">
        <v>2</v>
      </c>
      <c r="G118">
        <v>2</v>
      </c>
      <c r="H118">
        <v>2</v>
      </c>
      <c r="I118">
        <v>5</v>
      </c>
      <c r="J118">
        <v>30</v>
      </c>
      <c r="K118">
        <v>28</v>
      </c>
      <c r="L118">
        <v>30000</v>
      </c>
      <c r="M118">
        <v>1000</v>
      </c>
      <c r="N118">
        <v>3000</v>
      </c>
      <c r="O118">
        <v>2400</v>
      </c>
      <c r="P118">
        <v>31000</v>
      </c>
      <c r="Q118">
        <v>28600</v>
      </c>
    </row>
    <row r="119" spans="1:17" x14ac:dyDescent="0.3">
      <c r="A119" t="s">
        <v>37</v>
      </c>
      <c r="B119" t="s">
        <v>38</v>
      </c>
      <c r="C119" t="s">
        <v>49</v>
      </c>
      <c r="D119" t="s">
        <v>20</v>
      </c>
      <c r="E119">
        <v>22</v>
      </c>
      <c r="F119">
        <v>1</v>
      </c>
      <c r="G119">
        <v>2</v>
      </c>
      <c r="H119">
        <v>2</v>
      </c>
      <c r="I119">
        <v>5</v>
      </c>
      <c r="J119">
        <v>30</v>
      </c>
      <c r="K119">
        <v>29</v>
      </c>
      <c r="L119">
        <v>70000</v>
      </c>
      <c r="M119">
        <v>2333.3333333333335</v>
      </c>
      <c r="N119">
        <v>7000</v>
      </c>
      <c r="O119">
        <v>5600</v>
      </c>
      <c r="P119">
        <v>74666.666666666672</v>
      </c>
      <c r="Q119">
        <v>69066.666666666672</v>
      </c>
    </row>
    <row r="120" spans="1:17" x14ac:dyDescent="0.3">
      <c r="A120" t="s">
        <v>39</v>
      </c>
      <c r="B120" t="s">
        <v>40</v>
      </c>
      <c r="C120" t="s">
        <v>49</v>
      </c>
      <c r="D120" t="s">
        <v>26</v>
      </c>
      <c r="E120">
        <v>22</v>
      </c>
      <c r="F120">
        <v>1</v>
      </c>
      <c r="G120">
        <v>2</v>
      </c>
      <c r="H120">
        <v>2</v>
      </c>
      <c r="I120">
        <v>5</v>
      </c>
      <c r="J120">
        <v>30</v>
      </c>
      <c r="K120">
        <v>29</v>
      </c>
      <c r="L120">
        <v>50000</v>
      </c>
      <c r="M120">
        <v>1666.6666666666667</v>
      </c>
      <c r="N120">
        <v>5000</v>
      </c>
      <c r="O120">
        <v>4000</v>
      </c>
      <c r="P120">
        <v>53333.333333333336</v>
      </c>
      <c r="Q120">
        <v>49333.333333333336</v>
      </c>
    </row>
    <row r="121" spans="1:17" x14ac:dyDescent="0.3">
      <c r="A121" t="s">
        <v>41</v>
      </c>
      <c r="B121" t="s">
        <v>42</v>
      </c>
      <c r="C121" t="s">
        <v>49</v>
      </c>
      <c r="D121" t="s">
        <v>43</v>
      </c>
      <c r="E121">
        <v>22</v>
      </c>
      <c r="F121">
        <v>1</v>
      </c>
      <c r="G121">
        <v>2</v>
      </c>
      <c r="H121">
        <v>2</v>
      </c>
      <c r="I121">
        <v>5</v>
      </c>
      <c r="J121">
        <v>30</v>
      </c>
      <c r="K121">
        <v>29</v>
      </c>
      <c r="L121">
        <v>12000</v>
      </c>
      <c r="M121">
        <v>400</v>
      </c>
      <c r="N121">
        <v>1200</v>
      </c>
      <c r="O121">
        <v>960</v>
      </c>
      <c r="P121">
        <v>12800</v>
      </c>
      <c r="Q121">
        <v>11840</v>
      </c>
    </row>
    <row r="122" spans="1:17" x14ac:dyDescent="0.3">
      <c r="A122" t="s">
        <v>44</v>
      </c>
      <c r="B122" t="s">
        <v>45</v>
      </c>
      <c r="C122" t="s">
        <v>49</v>
      </c>
      <c r="D122" t="s">
        <v>43</v>
      </c>
      <c r="E122">
        <v>22</v>
      </c>
      <c r="F122">
        <v>1</v>
      </c>
      <c r="G122">
        <v>2</v>
      </c>
      <c r="H122">
        <v>2</v>
      </c>
      <c r="I122">
        <v>5</v>
      </c>
      <c r="J122">
        <v>30</v>
      </c>
      <c r="K122">
        <v>29</v>
      </c>
      <c r="L122">
        <v>12000</v>
      </c>
      <c r="M122">
        <v>400</v>
      </c>
      <c r="N122">
        <v>1200</v>
      </c>
      <c r="O122">
        <v>960</v>
      </c>
      <c r="P122">
        <v>12800</v>
      </c>
      <c r="Q122">
        <v>11840</v>
      </c>
    </row>
    <row r="123" spans="1:17" x14ac:dyDescent="0.3">
      <c r="A123" t="s">
        <v>17</v>
      </c>
      <c r="B123" t="s">
        <v>18</v>
      </c>
      <c r="C123" t="s">
        <v>50</v>
      </c>
      <c r="D123" t="s">
        <v>20</v>
      </c>
      <c r="E123">
        <v>23</v>
      </c>
      <c r="F123">
        <v>2</v>
      </c>
      <c r="G123">
        <v>2</v>
      </c>
      <c r="H123">
        <v>1</v>
      </c>
      <c r="I123">
        <v>4</v>
      </c>
      <c r="J123">
        <v>31</v>
      </c>
      <c r="K123">
        <v>29</v>
      </c>
      <c r="L123">
        <v>70000</v>
      </c>
      <c r="M123">
        <v>2258.0645161290322</v>
      </c>
      <c r="N123">
        <v>7000</v>
      </c>
      <c r="O123">
        <v>5600</v>
      </c>
      <c r="P123">
        <v>72483.870967741939</v>
      </c>
      <c r="Q123">
        <v>66883.870967741939</v>
      </c>
    </row>
    <row r="124" spans="1:17" x14ac:dyDescent="0.3">
      <c r="A124" t="s">
        <v>21</v>
      </c>
      <c r="B124" t="s">
        <v>22</v>
      </c>
      <c r="C124" t="s">
        <v>50</v>
      </c>
      <c r="D124" t="s">
        <v>23</v>
      </c>
      <c r="E124">
        <v>23</v>
      </c>
      <c r="F124">
        <v>2</v>
      </c>
      <c r="G124">
        <v>2</v>
      </c>
      <c r="H124">
        <v>1</v>
      </c>
      <c r="I124">
        <v>4</v>
      </c>
      <c r="J124">
        <v>31</v>
      </c>
      <c r="K124">
        <v>29</v>
      </c>
      <c r="L124">
        <v>40000</v>
      </c>
      <c r="M124">
        <v>1290.3225806451612</v>
      </c>
      <c r="N124">
        <v>4000</v>
      </c>
      <c r="O124">
        <v>3200</v>
      </c>
      <c r="P124">
        <v>41419.354838709674</v>
      </c>
      <c r="Q124">
        <v>38219.354838709674</v>
      </c>
    </row>
    <row r="125" spans="1:17" x14ac:dyDescent="0.3">
      <c r="A125" t="s">
        <v>24</v>
      </c>
      <c r="B125" t="s">
        <v>25</v>
      </c>
      <c r="C125" t="s">
        <v>50</v>
      </c>
      <c r="D125" t="s">
        <v>26</v>
      </c>
      <c r="E125">
        <v>24</v>
      </c>
      <c r="F125">
        <v>1</v>
      </c>
      <c r="G125">
        <v>2</v>
      </c>
      <c r="H125">
        <v>1</v>
      </c>
      <c r="I125">
        <v>4</v>
      </c>
      <c r="J125">
        <v>31</v>
      </c>
      <c r="K125">
        <v>30</v>
      </c>
      <c r="L125">
        <v>50000</v>
      </c>
      <c r="M125">
        <v>1612.9032258064517</v>
      </c>
      <c r="N125">
        <v>5000</v>
      </c>
      <c r="O125">
        <v>4000</v>
      </c>
      <c r="P125">
        <v>53387.096774193553</v>
      </c>
      <c r="Q125">
        <v>49387.096774193553</v>
      </c>
    </row>
    <row r="126" spans="1:17" x14ac:dyDescent="0.3">
      <c r="A126" t="s">
        <v>27</v>
      </c>
      <c r="B126" t="s">
        <v>28</v>
      </c>
      <c r="C126" t="s">
        <v>50</v>
      </c>
      <c r="D126" t="s">
        <v>23</v>
      </c>
      <c r="E126">
        <v>25</v>
      </c>
      <c r="F126">
        <v>0</v>
      </c>
      <c r="G126">
        <v>2</v>
      </c>
      <c r="H126">
        <v>1</v>
      </c>
      <c r="I126">
        <v>4</v>
      </c>
      <c r="J126">
        <v>31</v>
      </c>
      <c r="K126">
        <v>31</v>
      </c>
      <c r="L126">
        <v>40000</v>
      </c>
      <c r="M126">
        <v>1290.3225806451612</v>
      </c>
      <c r="N126">
        <v>4000</v>
      </c>
      <c r="O126">
        <v>3200</v>
      </c>
      <c r="P126">
        <v>44000</v>
      </c>
      <c r="Q126">
        <v>40800</v>
      </c>
    </row>
    <row r="127" spans="1:17" x14ac:dyDescent="0.3">
      <c r="A127" t="s">
        <v>29</v>
      </c>
      <c r="B127" t="s">
        <v>30</v>
      </c>
      <c r="C127" t="s">
        <v>50</v>
      </c>
      <c r="D127" t="s">
        <v>31</v>
      </c>
      <c r="E127">
        <v>24</v>
      </c>
      <c r="F127">
        <v>1</v>
      </c>
      <c r="G127">
        <v>2</v>
      </c>
      <c r="H127">
        <v>1</v>
      </c>
      <c r="I127">
        <v>4</v>
      </c>
      <c r="J127">
        <v>31</v>
      </c>
      <c r="K127">
        <v>30</v>
      </c>
      <c r="L127">
        <v>25000</v>
      </c>
      <c r="M127">
        <v>806.45161290322585</v>
      </c>
      <c r="N127">
        <v>2500</v>
      </c>
      <c r="O127">
        <v>2000</v>
      </c>
      <c r="P127">
        <v>26693.548387096776</v>
      </c>
      <c r="Q127">
        <v>24693.548387096776</v>
      </c>
    </row>
    <row r="128" spans="1:17" x14ac:dyDescent="0.3">
      <c r="A128" t="s">
        <v>32</v>
      </c>
      <c r="B128" t="s">
        <v>33</v>
      </c>
      <c r="C128" t="s">
        <v>50</v>
      </c>
      <c r="D128" t="s">
        <v>31</v>
      </c>
      <c r="E128">
        <v>24</v>
      </c>
      <c r="F128">
        <v>1</v>
      </c>
      <c r="G128">
        <v>2</v>
      </c>
      <c r="H128">
        <v>1</v>
      </c>
      <c r="I128">
        <v>4</v>
      </c>
      <c r="J128">
        <v>31</v>
      </c>
      <c r="K128">
        <v>30</v>
      </c>
      <c r="L128">
        <v>25000</v>
      </c>
      <c r="M128">
        <v>806.45161290322585</v>
      </c>
      <c r="N128">
        <v>2500</v>
      </c>
      <c r="O128">
        <v>2000</v>
      </c>
      <c r="P128">
        <v>26693.548387096776</v>
      </c>
      <c r="Q128">
        <v>24693.548387096776</v>
      </c>
    </row>
    <row r="129" spans="1:17" x14ac:dyDescent="0.3">
      <c r="A129" t="s">
        <v>34</v>
      </c>
      <c r="B129" t="s">
        <v>35</v>
      </c>
      <c r="C129" t="s">
        <v>50</v>
      </c>
      <c r="D129" t="s">
        <v>36</v>
      </c>
      <c r="E129">
        <v>24</v>
      </c>
      <c r="F129">
        <v>1</v>
      </c>
      <c r="G129">
        <v>2</v>
      </c>
      <c r="H129">
        <v>1</v>
      </c>
      <c r="I129">
        <v>4</v>
      </c>
      <c r="J129">
        <v>31</v>
      </c>
      <c r="K129">
        <v>30</v>
      </c>
      <c r="L129">
        <v>30000</v>
      </c>
      <c r="M129">
        <v>967.74193548387098</v>
      </c>
      <c r="N129">
        <v>3000</v>
      </c>
      <c r="O129">
        <v>2400</v>
      </c>
      <c r="P129">
        <v>32032.258064516129</v>
      </c>
      <c r="Q129">
        <v>29632.258064516129</v>
      </c>
    </row>
    <row r="130" spans="1:17" x14ac:dyDescent="0.3">
      <c r="A130" t="s">
        <v>37</v>
      </c>
      <c r="B130" t="s">
        <v>38</v>
      </c>
      <c r="C130" t="s">
        <v>50</v>
      </c>
      <c r="D130" t="s">
        <v>20</v>
      </c>
      <c r="E130">
        <v>23</v>
      </c>
      <c r="F130">
        <v>2</v>
      </c>
      <c r="G130">
        <v>2</v>
      </c>
      <c r="H130">
        <v>1</v>
      </c>
      <c r="I130">
        <v>4</v>
      </c>
      <c r="J130">
        <v>31</v>
      </c>
      <c r="K130">
        <v>29</v>
      </c>
      <c r="L130">
        <v>70000</v>
      </c>
      <c r="M130">
        <v>2258.0645161290322</v>
      </c>
      <c r="N130">
        <v>7000</v>
      </c>
      <c r="O130">
        <v>5600</v>
      </c>
      <c r="P130">
        <v>72483.870967741939</v>
      </c>
      <c r="Q130">
        <v>66883.870967741939</v>
      </c>
    </row>
    <row r="131" spans="1:17" x14ac:dyDescent="0.3">
      <c r="A131" t="s">
        <v>39</v>
      </c>
      <c r="B131" t="s">
        <v>40</v>
      </c>
      <c r="C131" t="s">
        <v>50</v>
      </c>
      <c r="D131" t="s">
        <v>26</v>
      </c>
      <c r="E131">
        <v>24</v>
      </c>
      <c r="F131">
        <v>1</v>
      </c>
      <c r="G131">
        <v>2</v>
      </c>
      <c r="H131">
        <v>1</v>
      </c>
      <c r="I131">
        <v>4</v>
      </c>
      <c r="J131">
        <v>31</v>
      </c>
      <c r="K131">
        <v>30</v>
      </c>
      <c r="L131">
        <v>50000</v>
      </c>
      <c r="M131">
        <v>1612.9032258064517</v>
      </c>
      <c r="N131">
        <v>5000</v>
      </c>
      <c r="O131">
        <v>4000</v>
      </c>
      <c r="P131">
        <v>53387.096774193553</v>
      </c>
      <c r="Q131">
        <v>49387.096774193553</v>
      </c>
    </row>
    <row r="132" spans="1:17" x14ac:dyDescent="0.3">
      <c r="A132" t="s">
        <v>41</v>
      </c>
      <c r="B132" t="s">
        <v>42</v>
      </c>
      <c r="C132" t="s">
        <v>50</v>
      </c>
      <c r="D132" t="s">
        <v>43</v>
      </c>
      <c r="E132">
        <v>24</v>
      </c>
      <c r="F132">
        <v>1</v>
      </c>
      <c r="G132">
        <v>2</v>
      </c>
      <c r="H132">
        <v>1</v>
      </c>
      <c r="I132">
        <v>4</v>
      </c>
      <c r="J132">
        <v>31</v>
      </c>
      <c r="K132">
        <v>30</v>
      </c>
      <c r="L132">
        <v>12000</v>
      </c>
      <c r="M132">
        <v>387.09677419354841</v>
      </c>
      <c r="N132">
        <v>1200</v>
      </c>
      <c r="O132">
        <v>960</v>
      </c>
      <c r="P132">
        <v>12812.903225806453</v>
      </c>
      <c r="Q132">
        <v>11852.903225806453</v>
      </c>
    </row>
    <row r="133" spans="1:17" x14ac:dyDescent="0.3">
      <c r="A133" t="s">
        <v>44</v>
      </c>
      <c r="B133" t="s">
        <v>45</v>
      </c>
      <c r="C133" t="s">
        <v>50</v>
      </c>
      <c r="D133" t="s">
        <v>43</v>
      </c>
      <c r="E133">
        <v>23</v>
      </c>
      <c r="F133">
        <v>2</v>
      </c>
      <c r="G133">
        <v>2</v>
      </c>
      <c r="H133">
        <v>1</v>
      </c>
      <c r="I133">
        <v>4</v>
      </c>
      <c r="J133">
        <v>31</v>
      </c>
      <c r="K133">
        <v>29</v>
      </c>
      <c r="L133">
        <v>12000</v>
      </c>
      <c r="M133">
        <v>387.09677419354841</v>
      </c>
      <c r="N133">
        <v>1200</v>
      </c>
      <c r="O133">
        <v>960</v>
      </c>
      <c r="P133">
        <v>12425.806451612903</v>
      </c>
      <c r="Q133">
        <v>11465.806451612903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A6F2-444F-49A1-9A9C-C00C735D2A0E}">
  <dimension ref="A1:AS80"/>
  <sheetViews>
    <sheetView zoomScale="98" zoomScaleNormal="98" workbookViewId="0"/>
  </sheetViews>
  <sheetFormatPr defaultRowHeight="14.4" x14ac:dyDescent="0.3"/>
  <cols>
    <col min="2" max="2" width="15.44140625" bestFit="1" customWidth="1"/>
    <col min="3" max="3" width="15" bestFit="1" customWidth="1"/>
    <col min="4" max="4" width="12.5546875" bestFit="1" customWidth="1"/>
    <col min="5" max="5" width="15.5546875" bestFit="1" customWidth="1"/>
    <col min="6" max="6" width="14.109375" bestFit="1" customWidth="1"/>
    <col min="8" max="8" width="12.77734375" bestFit="1" customWidth="1"/>
    <col min="9" max="9" width="25.21875" bestFit="1" customWidth="1"/>
    <col min="10" max="10" width="27.6640625" bestFit="1" customWidth="1"/>
    <col min="11" max="11" width="19.88671875" bestFit="1" customWidth="1"/>
    <col min="12" max="12" width="11.21875" bestFit="1" customWidth="1"/>
    <col min="13" max="13" width="19.6640625" bestFit="1" customWidth="1"/>
    <col min="14" max="14" width="9.6640625" bestFit="1" customWidth="1"/>
    <col min="15" max="15" width="12.77734375" bestFit="1" customWidth="1"/>
    <col min="16" max="16" width="21.5546875" bestFit="1" customWidth="1"/>
    <col min="17" max="17" width="17.44140625" customWidth="1"/>
    <col min="18" max="18" width="12.77734375" bestFit="1" customWidth="1"/>
    <col min="19" max="19" width="16.21875" bestFit="1" customWidth="1"/>
    <col min="20" max="20" width="17.77734375" bestFit="1" customWidth="1"/>
    <col min="22" max="22" width="12.77734375" bestFit="1" customWidth="1"/>
    <col min="23" max="23" width="15.44140625" bestFit="1" customWidth="1"/>
    <col min="24" max="24" width="15" bestFit="1" customWidth="1"/>
    <col min="25" max="25" width="11" bestFit="1" customWidth="1"/>
    <col min="26" max="26" width="12.77734375" bestFit="1" customWidth="1"/>
    <col min="27" max="27" width="18.6640625" bestFit="1" customWidth="1"/>
    <col min="28" max="28" width="18.21875" bestFit="1" customWidth="1"/>
    <col min="29" max="29" width="12.77734375" bestFit="1" customWidth="1"/>
    <col min="30" max="30" width="9.21875" bestFit="1" customWidth="1"/>
    <col min="31" max="31" width="8.77734375" bestFit="1" customWidth="1"/>
    <col min="32" max="32" width="6.44140625" bestFit="1" customWidth="1"/>
    <col min="35" max="35" width="12.77734375" bestFit="1" customWidth="1"/>
    <col min="36" max="36" width="15.44140625" bestFit="1" customWidth="1"/>
    <col min="37" max="37" width="15" bestFit="1" customWidth="1"/>
    <col min="38" max="38" width="17.77734375" bestFit="1" customWidth="1"/>
    <col min="42" max="42" width="12.5546875" bestFit="1" customWidth="1"/>
    <col min="43" max="43" width="12.77734375" bestFit="1" customWidth="1"/>
    <col min="44" max="44" width="9.21875" bestFit="1" customWidth="1"/>
    <col min="45" max="45" width="8.77734375" bestFit="1" customWidth="1"/>
    <col min="47" max="47" width="12.5546875" bestFit="1" customWidth="1"/>
    <col min="48" max="48" width="16.21875" bestFit="1" customWidth="1"/>
    <col min="49" max="49" width="17.77734375" bestFit="1" customWidth="1"/>
    <col min="50" max="53" width="22" bestFit="1" customWidth="1"/>
    <col min="54" max="54" width="17.77734375" bestFit="1" customWidth="1"/>
  </cols>
  <sheetData>
    <row r="1" spans="2:45" x14ac:dyDescent="0.3">
      <c r="B1" s="1" t="s">
        <v>58</v>
      </c>
      <c r="C1" t="s">
        <v>101</v>
      </c>
      <c r="D1" t="s">
        <v>100</v>
      </c>
      <c r="AL1" s="8"/>
    </row>
    <row r="2" spans="2:45" x14ac:dyDescent="0.3">
      <c r="B2" s="2" t="s">
        <v>28</v>
      </c>
      <c r="C2">
        <v>281</v>
      </c>
      <c r="D2">
        <v>5</v>
      </c>
      <c r="I2" s="1" t="s">
        <v>58</v>
      </c>
      <c r="J2" t="s">
        <v>62</v>
      </c>
      <c r="K2" t="s">
        <v>87</v>
      </c>
      <c r="L2" t="s">
        <v>63</v>
      </c>
      <c r="M2" t="s">
        <v>64</v>
      </c>
      <c r="N2" t="s">
        <v>65</v>
      </c>
      <c r="O2" t="s">
        <v>66</v>
      </c>
      <c r="P2" t="s">
        <v>88</v>
      </c>
      <c r="S2" t="s">
        <v>84</v>
      </c>
      <c r="T2" s="6">
        <f>SUMPRODUCT(J3:J13,K3:K13)</f>
        <v>5356285.7142857136</v>
      </c>
      <c r="V2" s="1" t="s">
        <v>58</v>
      </c>
      <c r="W2" t="s">
        <v>60</v>
      </c>
      <c r="X2" t="s">
        <v>61</v>
      </c>
      <c r="AC2" s="1" t="s">
        <v>58</v>
      </c>
      <c r="AD2" t="s">
        <v>101</v>
      </c>
      <c r="AE2" t="s">
        <v>100</v>
      </c>
      <c r="AF2" t="s">
        <v>102</v>
      </c>
      <c r="AI2" s="1" t="s">
        <v>58</v>
      </c>
      <c r="AJ2" t="s">
        <v>60</v>
      </c>
      <c r="AK2" t="s">
        <v>61</v>
      </c>
      <c r="AL2" s="12" t="s">
        <v>91</v>
      </c>
      <c r="AQ2" s="1" t="s">
        <v>58</v>
      </c>
      <c r="AR2" t="s">
        <v>99</v>
      </c>
      <c r="AS2" t="s">
        <v>100</v>
      </c>
    </row>
    <row r="3" spans="2:45" x14ac:dyDescent="0.3">
      <c r="B3" s="2" t="s">
        <v>18</v>
      </c>
      <c r="C3">
        <v>273</v>
      </c>
      <c r="D3">
        <v>13</v>
      </c>
      <c r="I3" s="2" t="s">
        <v>28</v>
      </c>
      <c r="J3">
        <v>360</v>
      </c>
      <c r="K3">
        <v>1428.5714285714287</v>
      </c>
      <c r="L3">
        <v>48000</v>
      </c>
      <c r="M3">
        <v>521324.11674347159</v>
      </c>
      <c r="N3">
        <v>38400</v>
      </c>
      <c r="O3">
        <v>482924.11674347159</v>
      </c>
      <c r="P3">
        <v>480000</v>
      </c>
      <c r="S3" t="s">
        <v>13</v>
      </c>
      <c r="T3" s="6">
        <f>SUM(L3:L13)</f>
        <v>508800</v>
      </c>
      <c r="V3" s="2" t="s">
        <v>36</v>
      </c>
      <c r="W3">
        <v>276</v>
      </c>
      <c r="X3">
        <v>10</v>
      </c>
      <c r="AC3" s="2" t="s">
        <v>57</v>
      </c>
      <c r="AD3">
        <v>243</v>
      </c>
      <c r="AE3">
        <v>10</v>
      </c>
      <c r="AF3">
        <v>44</v>
      </c>
      <c r="AI3" s="2" t="s">
        <v>27</v>
      </c>
      <c r="AJ3">
        <v>281</v>
      </c>
      <c r="AK3">
        <v>5</v>
      </c>
      <c r="AL3" s="12">
        <v>0.98630136986301364</v>
      </c>
      <c r="AN3">
        <f>GETPIVOTDATA("Sum of Attendence",$AI$2,"Emp ID","Emp004")</f>
        <v>0.98630136986301364</v>
      </c>
      <c r="AO3">
        <f>GETPIVOTDATA("Sum of Presence",$AI$2,"Emp ID","Emp004")</f>
        <v>281</v>
      </c>
      <c r="AP3">
        <f>GETPIVOTDATA("Sum of Absence",$AI$2,"Emp ID","Emp004")</f>
        <v>5</v>
      </c>
      <c r="AQ3" s="2" t="s">
        <v>17</v>
      </c>
      <c r="AR3">
        <v>273</v>
      </c>
      <c r="AS3">
        <v>13</v>
      </c>
    </row>
    <row r="4" spans="2:45" x14ac:dyDescent="0.3">
      <c r="B4" s="2" t="s">
        <v>40</v>
      </c>
      <c r="C4">
        <v>274</v>
      </c>
      <c r="D4">
        <v>12</v>
      </c>
      <c r="I4" s="2" t="s">
        <v>18</v>
      </c>
      <c r="J4">
        <v>352</v>
      </c>
      <c r="K4">
        <v>2500</v>
      </c>
      <c r="L4">
        <v>84000</v>
      </c>
      <c r="M4">
        <v>894102.15053763427</v>
      </c>
      <c r="N4">
        <v>67200</v>
      </c>
      <c r="O4">
        <v>826902.15053763427</v>
      </c>
      <c r="P4">
        <v>840000</v>
      </c>
      <c r="S4" t="s">
        <v>85</v>
      </c>
      <c r="T4" s="6">
        <f>SUM(M3:M13)</f>
        <v>5439605.7603686638</v>
      </c>
      <c r="V4" s="2" t="s">
        <v>31</v>
      </c>
      <c r="W4">
        <v>548</v>
      </c>
      <c r="X4">
        <v>24</v>
      </c>
      <c r="AC4" s="2" t="s">
        <v>51</v>
      </c>
      <c r="AD4">
        <v>211</v>
      </c>
      <c r="AE4">
        <v>9</v>
      </c>
      <c r="AF4">
        <v>44</v>
      </c>
      <c r="AQ4" s="2" t="s">
        <v>21</v>
      </c>
      <c r="AR4">
        <v>278</v>
      </c>
      <c r="AS4">
        <v>8</v>
      </c>
    </row>
    <row r="5" spans="2:45" x14ac:dyDescent="0.3">
      <c r="B5" s="2" t="s">
        <v>42</v>
      </c>
      <c r="C5">
        <v>275</v>
      </c>
      <c r="D5">
        <v>11</v>
      </c>
      <c r="I5" s="2" t="s">
        <v>40</v>
      </c>
      <c r="J5">
        <v>353</v>
      </c>
      <c r="K5">
        <v>1785.7142857142858</v>
      </c>
      <c r="L5">
        <v>60000</v>
      </c>
      <c r="M5">
        <v>640311.05990783428</v>
      </c>
      <c r="N5">
        <v>48000</v>
      </c>
      <c r="O5">
        <v>592311.05990783428</v>
      </c>
      <c r="P5">
        <v>600000</v>
      </c>
      <c r="S5" t="s">
        <v>14</v>
      </c>
      <c r="T5" s="6">
        <f>SUM(N3:N13)</f>
        <v>407040</v>
      </c>
      <c r="V5" s="2" t="s">
        <v>26</v>
      </c>
      <c r="W5">
        <v>545</v>
      </c>
      <c r="X5">
        <v>27</v>
      </c>
      <c r="AC5" s="2" t="s">
        <v>52</v>
      </c>
      <c r="AD5">
        <v>234</v>
      </c>
      <c r="AE5">
        <v>8</v>
      </c>
      <c r="AF5">
        <v>44</v>
      </c>
      <c r="AN5" t="str">
        <f>"Attendence:"&amp; ROUND(AN3*100,1) &amp; "%"</f>
        <v>Attendence:98.6%</v>
      </c>
      <c r="AQ5" s="2" t="s">
        <v>24</v>
      </c>
      <c r="AR5">
        <v>271</v>
      </c>
      <c r="AS5">
        <v>15</v>
      </c>
    </row>
    <row r="6" spans="2:45" x14ac:dyDescent="0.3">
      <c r="B6" s="2" t="s">
        <v>30</v>
      </c>
      <c r="C6">
        <v>273</v>
      </c>
      <c r="D6">
        <v>13</v>
      </c>
      <c r="I6" s="2" t="s">
        <v>42</v>
      </c>
      <c r="J6">
        <v>354</v>
      </c>
      <c r="K6">
        <v>428.57142857142856</v>
      </c>
      <c r="L6">
        <v>14400</v>
      </c>
      <c r="M6">
        <v>154035.94470046085</v>
      </c>
      <c r="N6">
        <v>11520</v>
      </c>
      <c r="O6">
        <v>142515.94470046085</v>
      </c>
      <c r="P6">
        <v>144000</v>
      </c>
      <c r="S6" t="s">
        <v>86</v>
      </c>
      <c r="T6" s="6">
        <f>SUM(O3:O13)</f>
        <v>5032565.7603686638</v>
      </c>
      <c r="V6" s="2" t="s">
        <v>20</v>
      </c>
      <c r="W6">
        <v>547</v>
      </c>
      <c r="X6">
        <v>25</v>
      </c>
      <c r="AC6" s="2" t="s">
        <v>54</v>
      </c>
      <c r="AD6">
        <v>266</v>
      </c>
      <c r="AE6">
        <v>9</v>
      </c>
      <c r="AF6">
        <v>11</v>
      </c>
      <c r="AN6" t="str">
        <f>AI3</f>
        <v>Emp004</v>
      </c>
      <c r="AQ6" s="2" t="s">
        <v>27</v>
      </c>
      <c r="AR6">
        <v>281</v>
      </c>
      <c r="AS6">
        <v>5</v>
      </c>
    </row>
    <row r="7" spans="2:45" x14ac:dyDescent="0.3">
      <c r="B7" s="2" t="s">
        <v>25</v>
      </c>
      <c r="C7">
        <v>271</v>
      </c>
      <c r="D7">
        <v>15</v>
      </c>
      <c r="I7" s="2" t="s">
        <v>30</v>
      </c>
      <c r="J7">
        <v>352</v>
      </c>
      <c r="K7">
        <v>892.85714285714289</v>
      </c>
      <c r="L7">
        <v>30000</v>
      </c>
      <c r="M7">
        <v>319322.19662058377</v>
      </c>
      <c r="N7">
        <v>24000</v>
      </c>
      <c r="O7">
        <v>295322.19662058377</v>
      </c>
      <c r="P7">
        <v>300000</v>
      </c>
      <c r="S7" t="s">
        <v>11</v>
      </c>
      <c r="T7" s="6">
        <f>SUM(T11:T21)/12</f>
        <v>424000</v>
      </c>
      <c r="V7" s="2" t="s">
        <v>43</v>
      </c>
      <c r="W7">
        <v>550</v>
      </c>
      <c r="X7">
        <v>22</v>
      </c>
      <c r="AC7" s="2" t="s">
        <v>55</v>
      </c>
      <c r="AD7">
        <v>265</v>
      </c>
      <c r="AE7">
        <v>10</v>
      </c>
      <c r="AF7">
        <v>22</v>
      </c>
      <c r="AN7" t="str">
        <f>"Presence:"&amp;AO3</f>
        <v>Presence:281</v>
      </c>
      <c r="AQ7" s="2" t="s">
        <v>29</v>
      </c>
      <c r="AR7">
        <v>273</v>
      </c>
      <c r="AS7">
        <v>13</v>
      </c>
    </row>
    <row r="8" spans="2:45" x14ac:dyDescent="0.3">
      <c r="B8" s="2" t="s">
        <v>22</v>
      </c>
      <c r="C8">
        <v>278</v>
      </c>
      <c r="D8">
        <v>8</v>
      </c>
      <c r="I8" s="2" t="s">
        <v>25</v>
      </c>
      <c r="J8">
        <v>350</v>
      </c>
      <c r="K8">
        <v>1785.7142857142858</v>
      </c>
      <c r="L8">
        <v>60000</v>
      </c>
      <c r="M8">
        <v>635418.58678955468</v>
      </c>
      <c r="N8">
        <v>48000</v>
      </c>
      <c r="O8">
        <v>587418.58678955457</v>
      </c>
      <c r="P8">
        <v>600000</v>
      </c>
      <c r="V8" s="2" t="s">
        <v>23</v>
      </c>
      <c r="W8">
        <v>559</v>
      </c>
      <c r="X8">
        <v>13</v>
      </c>
      <c r="AC8" s="2" t="s">
        <v>56</v>
      </c>
      <c r="AD8">
        <v>255</v>
      </c>
      <c r="AE8">
        <v>9</v>
      </c>
      <c r="AF8">
        <v>11</v>
      </c>
      <c r="AN8" t="str">
        <f>"Absence"&amp;AP3</f>
        <v>Absence5</v>
      </c>
      <c r="AQ8" s="2" t="s">
        <v>32</v>
      </c>
      <c r="AR8">
        <v>275</v>
      </c>
      <c r="AS8">
        <v>11</v>
      </c>
    </row>
    <row r="9" spans="2:45" x14ac:dyDescent="0.3">
      <c r="B9" s="2" t="s">
        <v>35</v>
      </c>
      <c r="C9">
        <v>276</v>
      </c>
      <c r="D9">
        <v>10</v>
      </c>
      <c r="I9" s="2" t="s">
        <v>22</v>
      </c>
      <c r="J9">
        <v>357</v>
      </c>
      <c r="K9">
        <v>1428.5714285714287</v>
      </c>
      <c r="L9">
        <v>48000</v>
      </c>
      <c r="M9">
        <v>517591.3978494624</v>
      </c>
      <c r="N9">
        <v>38400</v>
      </c>
      <c r="O9">
        <v>479191.3978494624</v>
      </c>
      <c r="P9">
        <v>480000</v>
      </c>
      <c r="AC9" s="2" t="s">
        <v>19</v>
      </c>
      <c r="AD9">
        <v>286</v>
      </c>
      <c r="AE9">
        <v>11</v>
      </c>
      <c r="AF9">
        <v>0</v>
      </c>
      <c r="AQ9" s="2" t="s">
        <v>34</v>
      </c>
      <c r="AR9">
        <v>276</v>
      </c>
      <c r="AS9">
        <v>10</v>
      </c>
    </row>
    <row r="10" spans="2:45" x14ac:dyDescent="0.3">
      <c r="B10" s="2" t="s">
        <v>33</v>
      </c>
      <c r="C10">
        <v>275</v>
      </c>
      <c r="D10">
        <v>11</v>
      </c>
      <c r="I10" s="2" t="s">
        <v>35</v>
      </c>
      <c r="J10">
        <v>355</v>
      </c>
      <c r="K10">
        <v>1071.4285714285713</v>
      </c>
      <c r="L10">
        <v>36000</v>
      </c>
      <c r="M10">
        <v>386161.29032258061</v>
      </c>
      <c r="N10">
        <v>28800</v>
      </c>
      <c r="O10">
        <v>357361.29032258061</v>
      </c>
      <c r="P10">
        <v>360000</v>
      </c>
      <c r="S10" s="1" t="s">
        <v>58</v>
      </c>
      <c r="T10" t="s">
        <v>88</v>
      </c>
      <c r="V10" t="str">
        <f>IF(COUNTA(V3:V8)=1,V3,IF(COUNTA(V3:V8)&lt;=6,COUNTA(V3:V8)&amp; " Roles","-"))</f>
        <v>6 Roles</v>
      </c>
      <c r="AC10" s="2" t="s">
        <v>46</v>
      </c>
      <c r="AD10">
        <v>253</v>
      </c>
      <c r="AE10">
        <v>11</v>
      </c>
      <c r="AF10">
        <v>22</v>
      </c>
      <c r="AQ10" s="2" t="s">
        <v>37</v>
      </c>
      <c r="AR10">
        <v>274</v>
      </c>
      <c r="AS10">
        <v>12</v>
      </c>
    </row>
    <row r="11" spans="2:45" x14ac:dyDescent="0.3">
      <c r="B11" s="2" t="s">
        <v>38</v>
      </c>
      <c r="C11">
        <v>274</v>
      </c>
      <c r="D11">
        <v>12</v>
      </c>
      <c r="I11" s="2" t="s">
        <v>33</v>
      </c>
      <c r="J11">
        <v>354</v>
      </c>
      <c r="K11">
        <v>892.85714285714289</v>
      </c>
      <c r="L11">
        <v>30000</v>
      </c>
      <c r="M11">
        <v>320875.57603686641</v>
      </c>
      <c r="N11">
        <v>24000</v>
      </c>
      <c r="O11">
        <v>296875.57603686641</v>
      </c>
      <c r="P11">
        <v>300000</v>
      </c>
      <c r="S11" s="2" t="s">
        <v>28</v>
      </c>
      <c r="T11">
        <v>480000</v>
      </c>
      <c r="AC11" s="2" t="s">
        <v>47</v>
      </c>
      <c r="AD11">
        <v>266</v>
      </c>
      <c r="AE11">
        <v>9</v>
      </c>
      <c r="AF11">
        <v>11</v>
      </c>
      <c r="AQ11" s="2" t="s">
        <v>39</v>
      </c>
      <c r="AR11">
        <v>274</v>
      </c>
      <c r="AS11">
        <v>12</v>
      </c>
    </row>
    <row r="12" spans="2:45" x14ac:dyDescent="0.3">
      <c r="B12" s="2" t="s">
        <v>45</v>
      </c>
      <c r="C12">
        <v>275</v>
      </c>
      <c r="D12">
        <v>11</v>
      </c>
      <c r="I12" s="2" t="s">
        <v>38</v>
      </c>
      <c r="J12">
        <v>353</v>
      </c>
      <c r="K12">
        <v>2500</v>
      </c>
      <c r="L12">
        <v>84000</v>
      </c>
      <c r="M12">
        <v>896360.21505376359</v>
      </c>
      <c r="N12">
        <v>67200</v>
      </c>
      <c r="O12">
        <v>829160.21505376347</v>
      </c>
      <c r="P12">
        <v>840000</v>
      </c>
      <c r="S12" s="2" t="s">
        <v>18</v>
      </c>
      <c r="T12">
        <v>840000</v>
      </c>
      <c r="AC12" s="2" t="s">
        <v>48</v>
      </c>
      <c r="AD12">
        <v>244</v>
      </c>
      <c r="AE12">
        <v>9</v>
      </c>
      <c r="AF12">
        <v>44</v>
      </c>
      <c r="AQ12" s="2" t="s">
        <v>41</v>
      </c>
      <c r="AR12">
        <v>275</v>
      </c>
      <c r="AS12">
        <v>11</v>
      </c>
    </row>
    <row r="13" spans="2:45" x14ac:dyDescent="0.3">
      <c r="I13" s="2" t="s">
        <v>45</v>
      </c>
      <c r="J13">
        <v>354</v>
      </c>
      <c r="K13">
        <v>428.57142857142856</v>
      </c>
      <c r="L13">
        <v>14400</v>
      </c>
      <c r="M13">
        <v>154103.22580645164</v>
      </c>
      <c r="N13">
        <v>11520</v>
      </c>
      <c r="O13">
        <v>142583.22580645164</v>
      </c>
      <c r="P13">
        <v>144000</v>
      </c>
      <c r="S13" s="2" t="s">
        <v>40</v>
      </c>
      <c r="T13">
        <v>600000</v>
      </c>
      <c r="AC13" s="2" t="s">
        <v>49</v>
      </c>
      <c r="AD13">
        <v>241</v>
      </c>
      <c r="AE13">
        <v>12</v>
      </c>
      <c r="AF13">
        <v>22</v>
      </c>
      <c r="AQ13" s="2" t="s">
        <v>44</v>
      </c>
      <c r="AR13">
        <v>275</v>
      </c>
      <c r="AS13">
        <v>11</v>
      </c>
    </row>
    <row r="14" spans="2:45" x14ac:dyDescent="0.3">
      <c r="B14" t="str">
        <f>IF(COUNTA(B2:B12)=1,B2,IF(COUNTA(B2:B12)&lt;11,COUNTA(B2:B12)&amp;"Employees","All Employees"))</f>
        <v>All Employees</v>
      </c>
      <c r="S14" s="2" t="s">
        <v>42</v>
      </c>
      <c r="T14">
        <v>144000</v>
      </c>
      <c r="AC14" s="2" t="s">
        <v>50</v>
      </c>
      <c r="AD14">
        <v>261</v>
      </c>
      <c r="AE14">
        <v>14</v>
      </c>
      <c r="AF14">
        <v>22</v>
      </c>
      <c r="AL14" s="8"/>
    </row>
    <row r="15" spans="2:45" x14ac:dyDescent="0.3">
      <c r="S15" s="2" t="s">
        <v>30</v>
      </c>
      <c r="T15">
        <v>300000</v>
      </c>
      <c r="AC15" s="2" t="s">
        <v>59</v>
      </c>
      <c r="AD15">
        <v>3025</v>
      </c>
      <c r="AE15">
        <v>121</v>
      </c>
      <c r="AF15">
        <v>297</v>
      </c>
      <c r="AL15" s="8"/>
    </row>
    <row r="16" spans="2:45" x14ac:dyDescent="0.3">
      <c r="S16" s="2" t="s">
        <v>25</v>
      </c>
      <c r="T16">
        <v>600000</v>
      </c>
      <c r="AL16" s="8"/>
    </row>
    <row r="17" spans="2:38" x14ac:dyDescent="0.3">
      <c r="S17" s="2" t="s">
        <v>22</v>
      </c>
      <c r="T17">
        <v>480000</v>
      </c>
      <c r="AL17" s="8"/>
    </row>
    <row r="18" spans="2:38" x14ac:dyDescent="0.3">
      <c r="S18" s="2" t="s">
        <v>35</v>
      </c>
      <c r="T18">
        <v>360000</v>
      </c>
      <c r="AL18" s="8"/>
    </row>
    <row r="19" spans="2:38" x14ac:dyDescent="0.3">
      <c r="S19" s="2" t="s">
        <v>33</v>
      </c>
      <c r="T19">
        <v>300000</v>
      </c>
      <c r="AL19" s="8"/>
    </row>
    <row r="20" spans="2:38" x14ac:dyDescent="0.3">
      <c r="B20" s="3" t="s">
        <v>67</v>
      </c>
      <c r="S20" s="2" t="s">
        <v>38</v>
      </c>
      <c r="T20">
        <v>840000</v>
      </c>
      <c r="AL20" s="8"/>
    </row>
    <row r="21" spans="2:38" x14ac:dyDescent="0.3">
      <c r="S21" s="2" t="s">
        <v>45</v>
      </c>
      <c r="T21">
        <v>144000</v>
      </c>
      <c r="AL21" s="8"/>
    </row>
    <row r="22" spans="2:38" x14ac:dyDescent="0.3">
      <c r="AL22" s="8"/>
    </row>
    <row r="23" spans="2:38" x14ac:dyDescent="0.3">
      <c r="B23" t="s">
        <v>60</v>
      </c>
      <c r="C23" t="s">
        <v>61</v>
      </c>
      <c r="D23" t="s">
        <v>68</v>
      </c>
      <c r="E23" t="s">
        <v>69</v>
      </c>
      <c r="F23" t="s">
        <v>92</v>
      </c>
      <c r="H23" s="1" t="s">
        <v>58</v>
      </c>
      <c r="I23" t="s">
        <v>70</v>
      </c>
      <c r="J23" t="s">
        <v>71</v>
      </c>
      <c r="O23" s="1" t="s">
        <v>58</v>
      </c>
      <c r="P23" t="s">
        <v>72</v>
      </c>
      <c r="R23" s="1" t="s">
        <v>58</v>
      </c>
      <c r="S23" t="s">
        <v>72</v>
      </c>
      <c r="AL23" s="4"/>
    </row>
    <row r="24" spans="2:38" x14ac:dyDescent="0.3">
      <c r="B24">
        <v>3025</v>
      </c>
      <c r="C24">
        <v>121</v>
      </c>
      <c r="D24">
        <v>297</v>
      </c>
      <c r="E24">
        <v>572</v>
      </c>
      <c r="F24">
        <v>264</v>
      </c>
      <c r="H24" s="2" t="s">
        <v>57</v>
      </c>
      <c r="I24">
        <v>341</v>
      </c>
      <c r="J24">
        <v>11</v>
      </c>
      <c r="O24" s="2" t="s">
        <v>57</v>
      </c>
      <c r="P24">
        <v>331</v>
      </c>
      <c r="R24" s="2" t="s">
        <v>57</v>
      </c>
      <c r="S24">
        <v>331</v>
      </c>
    </row>
    <row r="25" spans="2:38" x14ac:dyDescent="0.3">
      <c r="H25" s="2" t="s">
        <v>51</v>
      </c>
      <c r="I25">
        <v>308</v>
      </c>
      <c r="J25">
        <v>11</v>
      </c>
      <c r="O25" s="2" t="s">
        <v>51</v>
      </c>
      <c r="P25">
        <v>299</v>
      </c>
      <c r="R25" s="2" t="s">
        <v>51</v>
      </c>
      <c r="S25">
        <v>299</v>
      </c>
    </row>
    <row r="26" spans="2:38" x14ac:dyDescent="0.3">
      <c r="H26" s="2" t="s">
        <v>52</v>
      </c>
      <c r="I26">
        <v>341</v>
      </c>
      <c r="J26">
        <v>11</v>
      </c>
      <c r="O26" s="2" t="s">
        <v>52</v>
      </c>
      <c r="P26">
        <v>333</v>
      </c>
      <c r="R26" s="2" t="s">
        <v>52</v>
      </c>
      <c r="S26">
        <v>333</v>
      </c>
    </row>
    <row r="27" spans="2:38" x14ac:dyDescent="0.3">
      <c r="B27">
        <f>GETPIVOTDATA("Sum of Presence",$B$23)</f>
        <v>3025</v>
      </c>
      <c r="C27">
        <f>GETPIVOTDATA("Sum of Absence",$B$23)</f>
        <v>121</v>
      </c>
      <c r="D27">
        <f>GETPIVOTDATA("Sum of Leave",$B$23)</f>
        <v>297</v>
      </c>
      <c r="E27">
        <f>GETPIVOTDATA("Sum of Week off",$B$23)</f>
        <v>572</v>
      </c>
      <c r="F27">
        <f>GETPIVOTDATA("Sum of holiday",$B$23)</f>
        <v>264</v>
      </c>
      <c r="H27" s="2" t="s">
        <v>54</v>
      </c>
      <c r="I27">
        <v>330</v>
      </c>
      <c r="J27">
        <v>11</v>
      </c>
      <c r="O27" s="2" t="s">
        <v>54</v>
      </c>
      <c r="P27">
        <v>321</v>
      </c>
      <c r="R27" s="2" t="s">
        <v>54</v>
      </c>
      <c r="S27">
        <v>321</v>
      </c>
    </row>
    <row r="28" spans="2:38" x14ac:dyDescent="0.3">
      <c r="H28" s="2" t="s">
        <v>55</v>
      </c>
      <c r="I28">
        <v>341</v>
      </c>
      <c r="J28">
        <v>11</v>
      </c>
      <c r="O28" s="2" t="s">
        <v>55</v>
      </c>
      <c r="P28">
        <v>331</v>
      </c>
      <c r="R28" s="2" t="s">
        <v>55</v>
      </c>
      <c r="S28">
        <v>331</v>
      </c>
    </row>
    <row r="29" spans="2:38" x14ac:dyDescent="0.3">
      <c r="B29" t="str">
        <f>IF(COUNTA(B2:B12)=1,
"Avg. Presence:"&amp;ROUND(B27,0)&amp;" Days",
"Avg. Presence:"&amp;ROUND(B27/COUNTA(B2:B12),0)&amp;" Days")</f>
        <v>Avg. Presence:275 Days</v>
      </c>
      <c r="D29" t="str">
        <f>IF(COUNTA(B2:B12)=1,
"Avg. Absence:"&amp;ROUND(C27,0)&amp;" Days",
"Avg. Absence:"&amp;ROUND(C27/COUNTA(B2:B12),0)&amp;" Days")</f>
        <v>Avg. Absence:11 Days</v>
      </c>
      <c r="F29" t="str">
        <f>IF(COUNTA(B2:B12)=1,
"Leave:"&amp;ROUND(D27,0)&amp;" Days",
"Leave:"&amp;ROUND(D27/COUNTA(B2:B12),0)&amp;" Days")</f>
        <v>Leave:27 Days</v>
      </c>
      <c r="H29" s="2" t="s">
        <v>56</v>
      </c>
      <c r="I29">
        <v>330</v>
      </c>
      <c r="J29">
        <v>11</v>
      </c>
      <c r="O29" s="2" t="s">
        <v>56</v>
      </c>
      <c r="P29">
        <v>321</v>
      </c>
      <c r="R29" s="2" t="s">
        <v>56</v>
      </c>
      <c r="S29">
        <v>321</v>
      </c>
    </row>
    <row r="30" spans="2:38" x14ac:dyDescent="0.3">
      <c r="H30" s="2" t="s">
        <v>19</v>
      </c>
      <c r="I30">
        <v>341</v>
      </c>
      <c r="J30">
        <v>11</v>
      </c>
      <c r="O30" s="2" t="s">
        <v>19</v>
      </c>
      <c r="P30">
        <v>330</v>
      </c>
      <c r="R30" s="2" t="s">
        <v>19</v>
      </c>
      <c r="S30">
        <v>330</v>
      </c>
    </row>
    <row r="31" spans="2:38" x14ac:dyDescent="0.3">
      <c r="B31" t="str">
        <f>IF(COUNTA(B2:B12)=1,
"Week Off:"&amp;ROUND(E27,0)&amp;" Days",
"Week Off:"&amp;ROUND(E27/COUNTA(B2:B12),0)&amp;" Days")</f>
        <v>Week Off:52 Days</v>
      </c>
      <c r="D31" t="str">
        <f>IF(COUNTA(B2:B12)=1,
"HoliDay:"&amp;ROUND(F27,0)&amp;" Days",
"HoliDay:"&amp;ROUND(F27/COUNTA(B2:B12),0)&amp;" Days")</f>
        <v>HoliDay:24 Days</v>
      </c>
      <c r="H31" s="2" t="s">
        <v>46</v>
      </c>
      <c r="I31">
        <v>341</v>
      </c>
      <c r="J31">
        <v>11</v>
      </c>
      <c r="O31" s="2" t="s">
        <v>46</v>
      </c>
      <c r="P31">
        <v>330</v>
      </c>
      <c r="R31" s="2" t="s">
        <v>46</v>
      </c>
      <c r="S31">
        <v>330</v>
      </c>
    </row>
    <row r="32" spans="2:38" x14ac:dyDescent="0.3">
      <c r="H32" s="2" t="s">
        <v>47</v>
      </c>
      <c r="I32">
        <v>330</v>
      </c>
      <c r="J32">
        <v>11</v>
      </c>
      <c r="O32" s="2" t="s">
        <v>47</v>
      </c>
      <c r="P32">
        <v>321</v>
      </c>
      <c r="R32" s="2" t="s">
        <v>47</v>
      </c>
      <c r="S32">
        <v>321</v>
      </c>
    </row>
    <row r="33" spans="2:32" x14ac:dyDescent="0.3">
      <c r="H33" s="2" t="s">
        <v>48</v>
      </c>
      <c r="I33">
        <v>341</v>
      </c>
      <c r="J33">
        <v>11</v>
      </c>
      <c r="O33" s="2" t="s">
        <v>48</v>
      </c>
      <c r="P33">
        <v>332</v>
      </c>
      <c r="R33" s="2" t="s">
        <v>48</v>
      </c>
      <c r="S33">
        <v>332</v>
      </c>
    </row>
    <row r="34" spans="2:32" x14ac:dyDescent="0.3">
      <c r="H34" s="2" t="s">
        <v>49</v>
      </c>
      <c r="I34">
        <v>330</v>
      </c>
      <c r="J34">
        <v>11</v>
      </c>
      <c r="O34" s="2" t="s">
        <v>49</v>
      </c>
      <c r="P34">
        <v>318</v>
      </c>
      <c r="R34" s="2" t="s">
        <v>49</v>
      </c>
      <c r="S34">
        <v>318</v>
      </c>
    </row>
    <row r="35" spans="2:32" x14ac:dyDescent="0.3">
      <c r="B35" t="str">
        <f>IF(COUNTA(B2:B12)=1,"Monthly Salary","Total Monthly Salary")</f>
        <v>Total Monthly Salary</v>
      </c>
      <c r="H35" s="2" t="s">
        <v>50</v>
      </c>
      <c r="I35">
        <v>341</v>
      </c>
      <c r="J35">
        <v>11</v>
      </c>
      <c r="O35" s="2" t="s">
        <v>50</v>
      </c>
      <c r="P35">
        <v>327</v>
      </c>
      <c r="R35" s="2" t="s">
        <v>50</v>
      </c>
      <c r="S35">
        <v>327</v>
      </c>
    </row>
    <row r="36" spans="2:32" x14ac:dyDescent="0.3">
      <c r="H36" s="2" t="s">
        <v>59</v>
      </c>
      <c r="I36">
        <v>4015</v>
      </c>
      <c r="J36">
        <v>132</v>
      </c>
      <c r="O36" s="2" t="s">
        <v>59</v>
      </c>
      <c r="P36">
        <v>3894</v>
      </c>
      <c r="R36" s="2" t="s">
        <v>59</v>
      </c>
      <c r="S36">
        <v>3894</v>
      </c>
    </row>
    <row r="39" spans="2:32" x14ac:dyDescent="0.3">
      <c r="I39">
        <f>GETPIVOTDATA("Sum of Total Days in Month",$H$23)</f>
        <v>4015</v>
      </c>
    </row>
    <row r="40" spans="2:32" x14ac:dyDescent="0.3">
      <c r="B40" s="3" t="s">
        <v>73</v>
      </c>
    </row>
    <row r="43" spans="2:32" x14ac:dyDescent="0.3">
      <c r="B43" s="1" t="s">
        <v>58</v>
      </c>
      <c r="C43" t="s">
        <v>70</v>
      </c>
      <c r="F43" t="s">
        <v>74</v>
      </c>
      <c r="G43">
        <f>I39</f>
        <v>4015</v>
      </c>
      <c r="K43" t="s">
        <v>79</v>
      </c>
      <c r="M43" t="s">
        <v>80</v>
      </c>
      <c r="O43" t="s">
        <v>81</v>
      </c>
      <c r="P43" t="s">
        <v>82</v>
      </c>
    </row>
    <row r="44" spans="2:32" x14ac:dyDescent="0.3">
      <c r="B44" s="2" t="s">
        <v>17</v>
      </c>
      <c r="C44">
        <v>365</v>
      </c>
      <c r="F44" t="s">
        <v>75</v>
      </c>
      <c r="G44">
        <f>G43-C27</f>
        <v>3894</v>
      </c>
      <c r="K44">
        <f>I39</f>
        <v>4015</v>
      </c>
      <c r="M44">
        <f>SUM(B27:E27)</f>
        <v>4015</v>
      </c>
      <c r="O44">
        <f>M44-C27</f>
        <v>3894</v>
      </c>
      <c r="P44">
        <f>K44-M44</f>
        <v>0</v>
      </c>
      <c r="Z44" s="1" t="s">
        <v>58</v>
      </c>
      <c r="AA44" t="s">
        <v>97</v>
      </c>
      <c r="AB44" t="s">
        <v>98</v>
      </c>
    </row>
    <row r="45" spans="2:32" x14ac:dyDescent="0.3">
      <c r="B45" s="2" t="s">
        <v>21</v>
      </c>
      <c r="C45">
        <v>365</v>
      </c>
      <c r="Z45" s="2" t="s">
        <v>17</v>
      </c>
      <c r="AA45">
        <v>22.75</v>
      </c>
      <c r="AB45">
        <v>1.0833333333333333</v>
      </c>
    </row>
    <row r="46" spans="2:32" x14ac:dyDescent="0.3">
      <c r="B46" s="2" t="s">
        <v>24</v>
      </c>
      <c r="C46">
        <v>365</v>
      </c>
      <c r="Z46" s="2" t="s">
        <v>21</v>
      </c>
      <c r="AA46">
        <v>23.166666666666668</v>
      </c>
      <c r="AB46">
        <v>0.66666666666666663</v>
      </c>
      <c r="AD46" s="15">
        <f>AVERAGE(AA45:AA55)</f>
        <v>22.916666666666668</v>
      </c>
      <c r="AE46" s="15">
        <f>AVERAGE(AB45:AB55)</f>
        <v>0.91666666666666652</v>
      </c>
    </row>
    <row r="47" spans="2:32" x14ac:dyDescent="0.3">
      <c r="B47" s="2" t="s">
        <v>27</v>
      </c>
      <c r="C47">
        <v>365</v>
      </c>
      <c r="F47" t="s">
        <v>76</v>
      </c>
      <c r="G47" s="4">
        <f>G44/G43</f>
        <v>0.96986301369863015</v>
      </c>
      <c r="Z47" s="2" t="s">
        <v>24</v>
      </c>
      <c r="AA47">
        <v>22.583333333333332</v>
      </c>
      <c r="AB47">
        <v>1.25</v>
      </c>
      <c r="AD47" t="str">
        <f>"Avg.Presence "&amp;ROUND(AD46,0)&amp;" Days"</f>
        <v>Avg.Presence 23 Days</v>
      </c>
      <c r="AF47" t="str">
        <f>"Avg.Absence "&amp;ROUND(AE46,0)&amp;" Days"</f>
        <v>Avg.Absence 1 Days</v>
      </c>
    </row>
    <row r="48" spans="2:32" x14ac:dyDescent="0.3">
      <c r="B48" s="2" t="s">
        <v>29</v>
      </c>
      <c r="C48">
        <v>365</v>
      </c>
      <c r="F48" t="s">
        <v>77</v>
      </c>
      <c r="G48" s="5">
        <f>1-G47</f>
        <v>3.013698630136985E-2</v>
      </c>
      <c r="Q48" s="9" t="s">
        <v>89</v>
      </c>
      <c r="R48" s="9"/>
      <c r="S48" s="9" t="s">
        <v>90</v>
      </c>
      <c r="T48" s="9" t="s">
        <v>93</v>
      </c>
      <c r="Z48" s="2" t="s">
        <v>27</v>
      </c>
      <c r="AA48">
        <v>23.416666666666668</v>
      </c>
      <c r="AB48">
        <v>0.41666666666666669</v>
      </c>
    </row>
    <row r="49" spans="1:28" x14ac:dyDescent="0.3">
      <c r="B49" s="2" t="s">
        <v>32</v>
      </c>
      <c r="C49">
        <v>365</v>
      </c>
      <c r="F49" t="s">
        <v>78</v>
      </c>
      <c r="G49" s="5">
        <v>1</v>
      </c>
      <c r="Q49" s="10">
        <f>T7</f>
        <v>424000</v>
      </c>
      <c r="R49" s="9"/>
      <c r="S49" s="11">
        <f>SUM(K3:K13)</f>
        <v>15142.857142857143</v>
      </c>
      <c r="T49" s="9">
        <f>SUM(J3:J13)</f>
        <v>3894</v>
      </c>
      <c r="Z49" s="2" t="s">
        <v>29</v>
      </c>
      <c r="AA49">
        <v>22.75</v>
      </c>
      <c r="AB49">
        <v>1.0833333333333333</v>
      </c>
    </row>
    <row r="50" spans="1:28" x14ac:dyDescent="0.3">
      <c r="B50" s="2" t="s">
        <v>34</v>
      </c>
      <c r="C50">
        <v>365</v>
      </c>
      <c r="Z50" s="2" t="s">
        <v>32</v>
      </c>
      <c r="AA50">
        <v>22.916666666666668</v>
      </c>
      <c r="AB50">
        <v>0.91666666666666663</v>
      </c>
    </row>
    <row r="51" spans="1:28" x14ac:dyDescent="0.3">
      <c r="B51" s="2" t="s">
        <v>37</v>
      </c>
      <c r="C51">
        <v>365</v>
      </c>
      <c r="Z51" s="2" t="s">
        <v>34</v>
      </c>
      <c r="AA51">
        <v>23</v>
      </c>
      <c r="AB51">
        <v>0.83333333333333337</v>
      </c>
    </row>
    <row r="52" spans="1:28" x14ac:dyDescent="0.3">
      <c r="B52" s="2" t="s">
        <v>39</v>
      </c>
      <c r="C52">
        <v>365</v>
      </c>
      <c r="Z52" s="2" t="s">
        <v>37</v>
      </c>
      <c r="AA52">
        <v>22.833333333333332</v>
      </c>
      <c r="AB52">
        <v>1</v>
      </c>
    </row>
    <row r="53" spans="1:28" x14ac:dyDescent="0.3">
      <c r="B53" s="2" t="s">
        <v>41</v>
      </c>
      <c r="C53">
        <v>365</v>
      </c>
      <c r="Z53" s="2" t="s">
        <v>39</v>
      </c>
      <c r="AA53">
        <v>22.833333333333332</v>
      </c>
      <c r="AB53">
        <v>1</v>
      </c>
    </row>
    <row r="54" spans="1:28" x14ac:dyDescent="0.3">
      <c r="B54" s="2" t="s">
        <v>44</v>
      </c>
      <c r="C54">
        <v>365</v>
      </c>
      <c r="Z54" s="2" t="s">
        <v>41</v>
      </c>
      <c r="AA54">
        <v>22.916666666666668</v>
      </c>
      <c r="AB54">
        <v>0.91666666666666663</v>
      </c>
    </row>
    <row r="55" spans="1:28" x14ac:dyDescent="0.3">
      <c r="B55" s="2" t="s">
        <v>59</v>
      </c>
      <c r="C55">
        <v>4015</v>
      </c>
      <c r="Z55" s="2" t="s">
        <v>44</v>
      </c>
      <c r="AA55">
        <v>22.916666666666668</v>
      </c>
      <c r="AB55">
        <v>0.91666666666666663</v>
      </c>
    </row>
    <row r="56" spans="1:28" x14ac:dyDescent="0.3">
      <c r="Z56" s="2" t="s">
        <v>59</v>
      </c>
      <c r="AA56">
        <v>22.916666666666668</v>
      </c>
      <c r="AB56">
        <v>0.91666666666666663</v>
      </c>
    </row>
    <row r="59" spans="1:28" x14ac:dyDescent="0.3">
      <c r="B59">
        <f>COUNTIF(B44:B54,"Emp*")</f>
        <v>11</v>
      </c>
      <c r="C59">
        <f>C44</f>
        <v>365</v>
      </c>
    </row>
    <row r="62" spans="1:28" x14ac:dyDescent="0.3">
      <c r="A62" s="13" t="s">
        <v>94</v>
      </c>
      <c r="B62" t="str">
        <f>"Total Employee:"&amp;B59</f>
        <v>Total Employee:11</v>
      </c>
      <c r="C62" t="str">
        <f>"Total Days:"&amp;C59</f>
        <v>Total Days:365</v>
      </c>
      <c r="E62" s="1" t="s">
        <v>58</v>
      </c>
    </row>
    <row r="63" spans="1:28" x14ac:dyDescent="0.3">
      <c r="E63" s="2" t="s">
        <v>57</v>
      </c>
      <c r="L63" t="s">
        <v>74</v>
      </c>
      <c r="M63">
        <f>SUM(N69:N80)</f>
        <v>4015</v>
      </c>
      <c r="O63" t="s">
        <v>96</v>
      </c>
      <c r="T63" t="s">
        <v>74</v>
      </c>
      <c r="U63">
        <f>SUM(U69:U80)</f>
        <v>4015</v>
      </c>
      <c r="V63" t="s">
        <v>96</v>
      </c>
      <c r="W63" t="str">
        <f>"Total Work Days:"&amp;V64</f>
        <v>Total Work Days:286</v>
      </c>
    </row>
    <row r="64" spans="1:28" x14ac:dyDescent="0.3">
      <c r="E64" s="2" t="s">
        <v>51</v>
      </c>
      <c r="L64" t="s">
        <v>95</v>
      </c>
      <c r="M64">
        <f>SUM(O69:P80)</f>
        <v>869</v>
      </c>
      <c r="N64" t="str">
        <f>"Work Days:"&amp;O64</f>
        <v>Work Days:286</v>
      </c>
      <c r="O64">
        <f>(M63-M64)/11</f>
        <v>286</v>
      </c>
      <c r="T64" t="s">
        <v>95</v>
      </c>
      <c r="U64">
        <f>SUM(V69:W80)</f>
        <v>869</v>
      </c>
      <c r="V64">
        <f>(U63-U64)/11</f>
        <v>286</v>
      </c>
    </row>
    <row r="65" spans="5:23" x14ac:dyDescent="0.3">
      <c r="E65" s="2" t="s">
        <v>52</v>
      </c>
      <c r="H65" t="str">
        <f>IF(COUNTA($E$63:$E$74)=1," Report of "&amp;$E$63&amp;", 2025", IF(COUNTA($E$63:$E$74)&lt;12," Report of "&amp;COUNTA($E$63:$E$74)&amp;"months,2025","Report of 2025"))</f>
        <v>Report of 2025</v>
      </c>
      <c r="I65" s="14">
        <f ca="1">NOW()</f>
        <v>46196.707183217593</v>
      </c>
    </row>
    <row r="66" spans="5:23" x14ac:dyDescent="0.3">
      <c r="E66" s="2" t="s">
        <v>54</v>
      </c>
    </row>
    <row r="67" spans="5:23" x14ac:dyDescent="0.3">
      <c r="E67" s="2" t="s">
        <v>55</v>
      </c>
    </row>
    <row r="68" spans="5:23" x14ac:dyDescent="0.3">
      <c r="E68" s="2" t="s">
        <v>56</v>
      </c>
      <c r="M68" s="1" t="s">
        <v>58</v>
      </c>
      <c r="N68" t="s">
        <v>70</v>
      </c>
      <c r="O68" t="s">
        <v>69</v>
      </c>
      <c r="P68" t="s">
        <v>68</v>
      </c>
      <c r="T68" s="1" t="s">
        <v>58</v>
      </c>
      <c r="U68" s="1" t="s">
        <v>70</v>
      </c>
      <c r="V68" t="s">
        <v>69</v>
      </c>
      <c r="W68" t="s">
        <v>68</v>
      </c>
    </row>
    <row r="69" spans="5:23" x14ac:dyDescent="0.3">
      <c r="E69" s="2" t="s">
        <v>19</v>
      </c>
      <c r="M69" s="2" t="s">
        <v>57</v>
      </c>
      <c r="N69">
        <v>341</v>
      </c>
      <c r="O69">
        <v>44</v>
      </c>
      <c r="P69">
        <v>44</v>
      </c>
      <c r="T69" s="2" t="s">
        <v>57</v>
      </c>
      <c r="U69">
        <v>341</v>
      </c>
      <c r="V69">
        <v>44</v>
      </c>
      <c r="W69">
        <v>44</v>
      </c>
    </row>
    <row r="70" spans="5:23" x14ac:dyDescent="0.3">
      <c r="E70" s="2" t="s">
        <v>46</v>
      </c>
      <c r="M70" s="2" t="s">
        <v>51</v>
      </c>
      <c r="N70">
        <v>308</v>
      </c>
      <c r="O70">
        <v>44</v>
      </c>
      <c r="P70">
        <v>44</v>
      </c>
      <c r="T70" s="2" t="s">
        <v>51</v>
      </c>
      <c r="U70">
        <v>308</v>
      </c>
      <c r="V70">
        <v>44</v>
      </c>
      <c r="W70">
        <v>44</v>
      </c>
    </row>
    <row r="71" spans="5:23" x14ac:dyDescent="0.3">
      <c r="E71" s="2" t="s">
        <v>47</v>
      </c>
      <c r="M71" s="2" t="s">
        <v>52</v>
      </c>
      <c r="N71">
        <v>341</v>
      </c>
      <c r="O71">
        <v>55</v>
      </c>
      <c r="P71">
        <v>44</v>
      </c>
      <c r="T71" s="2" t="s">
        <v>52</v>
      </c>
      <c r="U71">
        <v>341</v>
      </c>
      <c r="V71">
        <v>55</v>
      </c>
      <c r="W71">
        <v>44</v>
      </c>
    </row>
    <row r="72" spans="5:23" x14ac:dyDescent="0.3">
      <c r="E72" s="2" t="s">
        <v>48</v>
      </c>
      <c r="M72" s="2" t="s">
        <v>54</v>
      </c>
      <c r="N72">
        <v>330</v>
      </c>
      <c r="O72">
        <v>44</v>
      </c>
      <c r="P72">
        <v>11</v>
      </c>
      <c r="T72" s="2" t="s">
        <v>54</v>
      </c>
      <c r="U72">
        <v>330</v>
      </c>
      <c r="V72">
        <v>44</v>
      </c>
      <c r="W72">
        <v>11</v>
      </c>
    </row>
    <row r="73" spans="5:23" x14ac:dyDescent="0.3">
      <c r="E73" s="2" t="s">
        <v>49</v>
      </c>
      <c r="M73" s="2" t="s">
        <v>55</v>
      </c>
      <c r="N73">
        <v>341</v>
      </c>
      <c r="O73">
        <v>44</v>
      </c>
      <c r="P73">
        <v>22</v>
      </c>
      <c r="T73" s="2" t="s">
        <v>55</v>
      </c>
      <c r="U73">
        <v>341</v>
      </c>
      <c r="V73">
        <v>44</v>
      </c>
      <c r="W73">
        <v>22</v>
      </c>
    </row>
    <row r="74" spans="5:23" x14ac:dyDescent="0.3">
      <c r="E74" s="2" t="s">
        <v>50</v>
      </c>
      <c r="M74" s="2" t="s">
        <v>56</v>
      </c>
      <c r="N74">
        <v>330</v>
      </c>
      <c r="O74">
        <v>55</v>
      </c>
      <c r="P74">
        <v>11</v>
      </c>
      <c r="T74" s="2" t="s">
        <v>56</v>
      </c>
      <c r="U74">
        <v>330</v>
      </c>
      <c r="V74">
        <v>55</v>
      </c>
      <c r="W74">
        <v>11</v>
      </c>
    </row>
    <row r="75" spans="5:23" x14ac:dyDescent="0.3">
      <c r="M75" s="2" t="s">
        <v>19</v>
      </c>
      <c r="N75">
        <v>341</v>
      </c>
      <c r="O75">
        <v>44</v>
      </c>
      <c r="P75">
        <v>0</v>
      </c>
      <c r="T75" s="2" t="s">
        <v>19</v>
      </c>
      <c r="U75">
        <v>341</v>
      </c>
      <c r="V75">
        <v>44</v>
      </c>
      <c r="W75">
        <v>0</v>
      </c>
    </row>
    <row r="76" spans="5:23" x14ac:dyDescent="0.3">
      <c r="M76" s="2" t="s">
        <v>46</v>
      </c>
      <c r="N76">
        <v>341</v>
      </c>
      <c r="O76">
        <v>55</v>
      </c>
      <c r="P76">
        <v>22</v>
      </c>
      <c r="T76" s="2" t="s">
        <v>46</v>
      </c>
      <c r="U76">
        <v>341</v>
      </c>
      <c r="V76">
        <v>55</v>
      </c>
      <c r="W76">
        <v>22</v>
      </c>
    </row>
    <row r="77" spans="5:23" x14ac:dyDescent="0.3">
      <c r="M77" s="2" t="s">
        <v>47</v>
      </c>
      <c r="N77">
        <v>330</v>
      </c>
      <c r="O77">
        <v>44</v>
      </c>
      <c r="P77">
        <v>11</v>
      </c>
      <c r="T77" s="2" t="s">
        <v>47</v>
      </c>
      <c r="U77">
        <v>330</v>
      </c>
      <c r="V77">
        <v>44</v>
      </c>
      <c r="W77">
        <v>11</v>
      </c>
    </row>
    <row r="78" spans="5:23" x14ac:dyDescent="0.3">
      <c r="M78" s="2" t="s">
        <v>48</v>
      </c>
      <c r="N78">
        <v>341</v>
      </c>
      <c r="O78">
        <v>44</v>
      </c>
      <c r="P78">
        <v>44</v>
      </c>
      <c r="T78" s="2" t="s">
        <v>48</v>
      </c>
      <c r="U78">
        <v>341</v>
      </c>
      <c r="V78">
        <v>44</v>
      </c>
      <c r="W78">
        <v>44</v>
      </c>
    </row>
    <row r="79" spans="5:23" x14ac:dyDescent="0.3">
      <c r="M79" s="2" t="s">
        <v>49</v>
      </c>
      <c r="N79">
        <v>330</v>
      </c>
      <c r="O79">
        <v>55</v>
      </c>
      <c r="P79">
        <v>22</v>
      </c>
      <c r="T79" s="2" t="s">
        <v>49</v>
      </c>
      <c r="U79">
        <v>330</v>
      </c>
      <c r="V79">
        <v>55</v>
      </c>
      <c r="W79">
        <v>22</v>
      </c>
    </row>
    <row r="80" spans="5:23" x14ac:dyDescent="0.3">
      <c r="M80" s="2" t="s">
        <v>50</v>
      </c>
      <c r="N80">
        <v>341</v>
      </c>
      <c r="O80">
        <v>44</v>
      </c>
      <c r="P80">
        <v>22</v>
      </c>
      <c r="T80" s="2" t="s">
        <v>50</v>
      </c>
      <c r="U80">
        <v>341</v>
      </c>
      <c r="V80">
        <v>44</v>
      </c>
      <c r="W80">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F18EBB-FD4D-4C50-A4F2-8D1F3BBF28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DecReport</vt:lpstr>
      <vt:lpstr>NovReport</vt:lpstr>
      <vt:lpstr>OctReport</vt:lpstr>
      <vt:lpstr>SepReport</vt:lpstr>
      <vt:lpstr>AugReport</vt:lpstr>
      <vt:lpstr>JulReport</vt:lpstr>
      <vt:lpstr>JunReport</vt:lpstr>
      <vt:lpstr>MayReport</vt:lpstr>
      <vt:lpstr>AprReport</vt:lpstr>
      <vt:lpstr>MarReport</vt:lpstr>
      <vt:lpstr>FebReport</vt:lpstr>
      <vt:lpstr>Dashboard</vt:lpstr>
      <vt:lpstr>RawData</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Mahata</dc:creator>
  <cp:lastModifiedBy>Disha Mahata</cp:lastModifiedBy>
  <dcterms:created xsi:type="dcterms:W3CDTF">2026-06-02T07:11:43Z</dcterms:created>
  <dcterms:modified xsi:type="dcterms:W3CDTF">2026-06-23T23:58:27Z</dcterms:modified>
</cp:coreProperties>
</file>